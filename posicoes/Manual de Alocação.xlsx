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updateLinks="always"/>
  <mc:AlternateContent xmlns:mc="http://schemas.openxmlformats.org/markup-compatibility/2006">
    <mc:Choice Requires="x15">
      <x15ac:absPath xmlns:x15ac="http://schemas.microsoft.com/office/spreadsheetml/2010/11/ac" url="https://mwealthconsultoria-my.sharepoint.com/personal/operacoes_mwealth_com_br/Documents/M Wealth/Investimentos/"/>
    </mc:Choice>
  </mc:AlternateContent>
  <xr:revisionPtr revIDLastSave="0" documentId="8_{AFC3178E-4D76-4573-837A-41A1CB121908}" xr6:coauthVersionLast="47" xr6:coauthVersionMax="47" xr10:uidLastSave="{00000000-0000-0000-0000-000000000000}"/>
  <bookViews>
    <workbookView xWindow="-108" yWindow="-108" windowWidth="23256" windowHeight="12456" firstSheet="7" activeTab="7" xr2:uid="{F21899E6-802E-4424-87B0-80D7B1D94A58}"/>
  </bookViews>
  <sheets>
    <sheet name="Menu" sheetId="21" r:id="rId1"/>
    <sheet name="Asset Allocation Novo" sheetId="47" r:id="rId2"/>
    <sheet name="Classes de Ativo" sheetId="30" r:id="rId3"/>
    <sheet name="Ações e ETF" sheetId="42" r:id="rId4"/>
    <sheet name="FII &amp; FiAgro" sheetId="32" r:id="rId5"/>
    <sheet name="Fundos de Infra &amp; Cetipados" sheetId="45" r:id="rId6"/>
    <sheet name="Monitoramento" sheetId="35" r:id="rId7"/>
    <sheet name="Gestoras e Fundos" sheetId="48" r:id="rId8"/>
    <sheet name="Carteira PJ" sheetId="43" r:id="rId9"/>
    <sheet name="Bancário" sheetId="28" r:id="rId10"/>
    <sheet name="Sugestões" sheetId="46" r:id="rId11"/>
  </sheets>
  <externalReferences>
    <externalReference r:id="rId12"/>
  </externalReferences>
  <definedNames>
    <definedName name="_xlnm._FilterDatabase" localSheetId="9" hidden="1">Bancário!$B$2:$J$79</definedName>
    <definedName name="_xlnm._FilterDatabase" localSheetId="4" hidden="1">'FII &amp; FiAgro'!$F$3:$G$11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35" l="1"/>
  <c r="G1" i="28"/>
  <c r="C3" i="28"/>
  <c r="D3" i="28"/>
  <c r="E3" i="28"/>
  <c r="F3" i="28"/>
  <c r="G3" i="28"/>
  <c r="I3" i="28"/>
  <c r="J3" i="28"/>
  <c r="C4" i="28"/>
  <c r="D4" i="28"/>
  <c r="E4" i="28"/>
  <c r="F4" i="28"/>
  <c r="G4" i="28"/>
  <c r="I4" i="28"/>
  <c r="J4" i="28"/>
  <c r="C5" i="28"/>
  <c r="D5" i="28"/>
  <c r="E5" i="28"/>
  <c r="F5" i="28"/>
  <c r="G5" i="28"/>
  <c r="I5" i="28"/>
  <c r="J5" i="28"/>
  <c r="C6" i="28"/>
  <c r="D6" i="28"/>
  <c r="E6" i="28"/>
  <c r="F6" i="28"/>
  <c r="G6" i="28"/>
  <c r="I6" i="28"/>
  <c r="J6" i="28"/>
  <c r="C7" i="28"/>
  <c r="D7" i="28"/>
  <c r="E7" i="28"/>
  <c r="F7" i="28"/>
  <c r="G7" i="28"/>
  <c r="I7" i="28"/>
  <c r="J7" i="28"/>
  <c r="C8" i="28"/>
  <c r="D8" i="28"/>
  <c r="E8" i="28"/>
  <c r="F8" i="28"/>
  <c r="G8" i="28"/>
  <c r="I8" i="28"/>
  <c r="J8" i="28"/>
  <c r="C9" i="28"/>
  <c r="D9" i="28"/>
  <c r="E9" i="28"/>
  <c r="F9" i="28"/>
  <c r="G9" i="28"/>
  <c r="I9" i="28"/>
  <c r="J9" i="28"/>
  <c r="C10" i="28"/>
  <c r="D10" i="28"/>
  <c r="E10" i="28"/>
  <c r="F10" i="28"/>
  <c r="G10" i="28"/>
  <c r="I10" i="28"/>
  <c r="J10" i="28"/>
  <c r="C11" i="28"/>
  <c r="D11" i="28"/>
  <c r="E11" i="28"/>
  <c r="F11" i="28"/>
  <c r="G11" i="28"/>
  <c r="I11" i="28"/>
  <c r="J11" i="28"/>
  <c r="C12" i="28"/>
  <c r="D12" i="28"/>
  <c r="E12" i="28"/>
  <c r="F12" i="28"/>
  <c r="G12" i="28"/>
  <c r="I12" i="28"/>
  <c r="J12" i="28"/>
  <c r="C13" i="28"/>
  <c r="D13" i="28"/>
  <c r="E13" i="28"/>
  <c r="F13" i="28"/>
  <c r="G13" i="28"/>
  <c r="I13" i="28"/>
  <c r="J13" i="28"/>
  <c r="C14" i="28"/>
  <c r="D14" i="28"/>
  <c r="E14" i="28"/>
  <c r="F14" i="28"/>
  <c r="G14" i="28"/>
  <c r="I14" i="28"/>
  <c r="J14" i="28"/>
  <c r="C15" i="28"/>
  <c r="D15" i="28"/>
  <c r="E15" i="28"/>
  <c r="F15" i="28"/>
  <c r="G15" i="28"/>
  <c r="I15" i="28"/>
  <c r="J15" i="28"/>
  <c r="C16" i="28"/>
  <c r="D16" i="28"/>
  <c r="E16" i="28"/>
  <c r="F16" i="28"/>
  <c r="G16" i="28"/>
  <c r="I16" i="28"/>
  <c r="J16" i="28"/>
  <c r="C17" i="28"/>
  <c r="D17" i="28"/>
  <c r="E17" i="28"/>
  <c r="F17" i="28"/>
  <c r="G17" i="28"/>
  <c r="I17" i="28"/>
  <c r="J17" i="28"/>
  <c r="C18" i="28"/>
  <c r="D18" i="28"/>
  <c r="E18" i="28"/>
  <c r="F18" i="28"/>
  <c r="G18" i="28"/>
  <c r="I18" i="28"/>
  <c r="J18" i="28"/>
  <c r="C19" i="28"/>
  <c r="D19" i="28"/>
  <c r="E19" i="28"/>
  <c r="F19" i="28"/>
  <c r="G19" i="28"/>
  <c r="I19" i="28"/>
  <c r="J19" i="28"/>
  <c r="C20" i="28"/>
  <c r="D20" i="28"/>
  <c r="E20" i="28"/>
  <c r="F20" i="28"/>
  <c r="G20" i="28"/>
  <c r="I20" i="28"/>
  <c r="J20" i="28"/>
  <c r="C21" i="28"/>
  <c r="D21" i="28"/>
  <c r="E21" i="28"/>
  <c r="F21" i="28"/>
  <c r="G21" i="28"/>
  <c r="I21" i="28"/>
  <c r="J21" i="28"/>
  <c r="C22" i="28"/>
  <c r="D22" i="28"/>
  <c r="E22" i="28"/>
  <c r="F22" i="28"/>
  <c r="G22" i="28"/>
  <c r="I22" i="28"/>
  <c r="J22" i="28"/>
  <c r="C23" i="28"/>
  <c r="D23" i="28"/>
  <c r="E23" i="28"/>
  <c r="F23" i="28"/>
  <c r="G23" i="28"/>
  <c r="I23" i="28"/>
  <c r="J23" i="28"/>
  <c r="C24" i="28"/>
  <c r="D24" i="28"/>
  <c r="E24" i="28"/>
  <c r="F24" i="28"/>
  <c r="G24" i="28"/>
  <c r="I24" i="28"/>
  <c r="J24" i="28"/>
  <c r="C25" i="28"/>
  <c r="D25" i="28"/>
  <c r="E25" i="28"/>
  <c r="F25" i="28"/>
  <c r="G25" i="28"/>
  <c r="I25" i="28"/>
  <c r="J25" i="28"/>
  <c r="C26" i="28"/>
  <c r="D26" i="28"/>
  <c r="E26" i="28"/>
  <c r="F26" i="28"/>
  <c r="G26" i="28"/>
  <c r="I26" i="28"/>
  <c r="J26" i="28"/>
  <c r="C27" i="28"/>
  <c r="D27" i="28"/>
  <c r="E27" i="28"/>
  <c r="F27" i="28"/>
  <c r="G27" i="28"/>
  <c r="I27" i="28"/>
  <c r="J27" i="28"/>
  <c r="C28" i="28"/>
  <c r="D28" i="28"/>
  <c r="E28" i="28"/>
  <c r="F28" i="28"/>
  <c r="G28" i="28"/>
  <c r="I28" i="28"/>
  <c r="J28" i="28"/>
  <c r="C29" i="28"/>
  <c r="D29" i="28"/>
  <c r="E29" i="28"/>
  <c r="F29" i="28"/>
  <c r="G29" i="28"/>
  <c r="I29" i="28"/>
  <c r="J29" i="28"/>
  <c r="C30" i="28"/>
  <c r="D30" i="28"/>
  <c r="E30" i="28"/>
  <c r="F30" i="28"/>
  <c r="G30" i="28"/>
  <c r="I30" i="28"/>
  <c r="J30" i="28"/>
  <c r="C31" i="28"/>
  <c r="D31" i="28"/>
  <c r="E31" i="28"/>
  <c r="F31" i="28"/>
  <c r="G31" i="28"/>
  <c r="I31" i="28"/>
  <c r="J31" i="28"/>
  <c r="C32" i="28"/>
  <c r="D32" i="28"/>
  <c r="E32" i="28"/>
  <c r="F32" i="28"/>
  <c r="G32" i="28"/>
  <c r="I32" i="28"/>
  <c r="J32" i="28"/>
  <c r="C33" i="28"/>
  <c r="D33" i="28"/>
  <c r="E33" i="28"/>
  <c r="F33" i="28"/>
  <c r="G33" i="28"/>
  <c r="I33" i="28"/>
  <c r="J33" i="28"/>
  <c r="C34" i="28"/>
  <c r="D34" i="28"/>
  <c r="E34" i="28"/>
  <c r="F34" i="28"/>
  <c r="G34" i="28"/>
  <c r="I34" i="28"/>
  <c r="J34" i="28"/>
  <c r="C35" i="28"/>
  <c r="D35" i="28"/>
  <c r="E35" i="28"/>
  <c r="F35" i="28"/>
  <c r="G35" i="28"/>
  <c r="I35" i="28"/>
  <c r="J35" i="28"/>
  <c r="C36" i="28"/>
  <c r="D36" i="28"/>
  <c r="E36" i="28"/>
  <c r="F36" i="28"/>
  <c r="G36" i="28"/>
  <c r="I36" i="28"/>
  <c r="J36" i="28"/>
  <c r="C37" i="28"/>
  <c r="D37" i="28"/>
  <c r="E37" i="28"/>
  <c r="F37" i="28"/>
  <c r="G37" i="28"/>
  <c r="I37" i="28"/>
  <c r="J37" i="28"/>
  <c r="C38" i="28"/>
  <c r="D38" i="28"/>
  <c r="E38" i="28"/>
  <c r="F38" i="28"/>
  <c r="G38" i="28"/>
  <c r="I38" i="28"/>
  <c r="J38" i="28"/>
  <c r="C39" i="28"/>
  <c r="D39" i="28"/>
  <c r="E39" i="28"/>
  <c r="F39" i="28"/>
  <c r="G39" i="28"/>
  <c r="I39" i="28"/>
  <c r="J39" i="28"/>
  <c r="C40" i="28"/>
  <c r="D40" i="28"/>
  <c r="E40" i="28"/>
  <c r="F40" i="28"/>
  <c r="G40" i="28"/>
  <c r="I40" i="28"/>
  <c r="J40" i="28"/>
  <c r="C41" i="28"/>
  <c r="D41" i="28"/>
  <c r="E41" i="28"/>
  <c r="F41" i="28"/>
  <c r="G41" i="28"/>
  <c r="I41" i="28"/>
  <c r="J41" i="28"/>
  <c r="C42" i="28"/>
  <c r="D42" i="28"/>
  <c r="E42" i="28"/>
  <c r="F42" i="28"/>
  <c r="G42" i="28"/>
  <c r="I42" i="28"/>
  <c r="J42" i="28"/>
  <c r="C43" i="28"/>
  <c r="D43" i="28"/>
  <c r="E43" i="28"/>
  <c r="F43" i="28"/>
  <c r="G43" i="28"/>
  <c r="I43" i="28"/>
  <c r="J43" i="28"/>
  <c r="C44" i="28"/>
  <c r="D44" i="28"/>
  <c r="E44" i="28"/>
  <c r="F44" i="28"/>
  <c r="G44" i="28"/>
  <c r="I44" i="28"/>
  <c r="J44" i="28"/>
  <c r="C45" i="28"/>
  <c r="D45" i="28"/>
  <c r="E45" i="28"/>
  <c r="F45" i="28"/>
  <c r="G45" i="28"/>
  <c r="I45" i="28"/>
  <c r="J45" i="28"/>
  <c r="C46" i="28"/>
  <c r="D46" i="28"/>
  <c r="E46" i="28"/>
  <c r="F46" i="28"/>
  <c r="G46" i="28"/>
  <c r="I46" i="28"/>
  <c r="J46" i="28"/>
  <c r="C47" i="28"/>
  <c r="D47" i="28"/>
  <c r="E47" i="28"/>
  <c r="F47" i="28"/>
  <c r="G47" i="28"/>
  <c r="I47" i="28"/>
  <c r="J47" i="28"/>
  <c r="C48" i="28"/>
  <c r="D48" i="28"/>
  <c r="E48" i="28"/>
  <c r="F48" i="28"/>
  <c r="G48" i="28"/>
  <c r="I48" i="28"/>
  <c r="J48" i="28"/>
  <c r="C49" i="28"/>
  <c r="D49" i="28"/>
  <c r="E49" i="28"/>
  <c r="F49" i="28"/>
  <c r="G49" i="28"/>
  <c r="I49" i="28"/>
  <c r="J49" i="28"/>
  <c r="C50" i="28"/>
  <c r="D50" i="28"/>
  <c r="E50" i="28"/>
  <c r="F50" i="28"/>
  <c r="G50" i="28"/>
  <c r="I50" i="28"/>
  <c r="J50" i="28"/>
  <c r="C51" i="28"/>
  <c r="D51" i="28"/>
  <c r="E51" i="28"/>
  <c r="F51" i="28"/>
  <c r="G51" i="28"/>
  <c r="I51" i="28"/>
  <c r="J51" i="28"/>
  <c r="C52" i="28"/>
  <c r="D52" i="28"/>
  <c r="E52" i="28"/>
  <c r="F52" i="28"/>
  <c r="G52" i="28"/>
  <c r="I52" i="28"/>
  <c r="J52" i="28"/>
  <c r="C53" i="28"/>
  <c r="D53" i="28"/>
  <c r="E53" i="28"/>
  <c r="F53" i="28"/>
  <c r="G53" i="28"/>
  <c r="I53" i="28"/>
  <c r="J53" i="28"/>
  <c r="C54" i="28"/>
  <c r="D54" i="28"/>
  <c r="E54" i="28"/>
  <c r="F54" i="28"/>
  <c r="G54" i="28"/>
  <c r="I54" i="28"/>
  <c r="J54" i="28"/>
  <c r="C55" i="28"/>
  <c r="D55" i="28"/>
  <c r="E55" i="28"/>
  <c r="F55" i="28"/>
  <c r="G55" i="28"/>
  <c r="I55" i="28"/>
  <c r="J55" i="28"/>
  <c r="C56" i="28"/>
  <c r="D56" i="28"/>
  <c r="E56" i="28"/>
  <c r="F56" i="28"/>
  <c r="G56" i="28"/>
  <c r="I56" i="28"/>
  <c r="J56" i="28"/>
  <c r="C57" i="28"/>
  <c r="D57" i="28"/>
  <c r="E57" i="28"/>
  <c r="F57" i="28"/>
  <c r="G57" i="28"/>
  <c r="I57" i="28"/>
  <c r="J57" i="28"/>
  <c r="C58" i="28"/>
  <c r="D58" i="28"/>
  <c r="E58" i="28"/>
  <c r="F58" i="28"/>
  <c r="G58" i="28"/>
  <c r="I58" i="28"/>
  <c r="J58" i="28"/>
  <c r="C59" i="28"/>
  <c r="D59" i="28"/>
  <c r="E59" i="28"/>
  <c r="F59" i="28"/>
  <c r="G59" i="28"/>
  <c r="I59" i="28"/>
  <c r="J59" i="28"/>
  <c r="C60" i="28"/>
  <c r="D60" i="28"/>
  <c r="E60" i="28"/>
  <c r="F60" i="28"/>
  <c r="G60" i="28"/>
  <c r="I60" i="28"/>
  <c r="J60" i="28"/>
  <c r="C61" i="28"/>
  <c r="D61" i="28"/>
  <c r="E61" i="28"/>
  <c r="F61" i="28"/>
  <c r="G61" i="28"/>
  <c r="I61" i="28"/>
  <c r="J61" i="28"/>
  <c r="C62" i="28"/>
  <c r="D62" i="28"/>
  <c r="E62" i="28"/>
  <c r="F62" i="28"/>
  <c r="G62" i="28"/>
  <c r="I62" i="28"/>
  <c r="J62" i="28"/>
  <c r="C63" i="28"/>
  <c r="D63" i="28"/>
  <c r="E63" i="28"/>
  <c r="F63" i="28"/>
  <c r="G63" i="28"/>
  <c r="I63" i="28"/>
  <c r="J63" i="28"/>
  <c r="C64" i="28"/>
  <c r="D64" i="28"/>
  <c r="E64" i="28"/>
  <c r="F64" i="28"/>
  <c r="G64" i="28"/>
  <c r="I64" i="28"/>
  <c r="J64" i="28"/>
  <c r="C65" i="28"/>
  <c r="D65" i="28"/>
  <c r="E65" i="28"/>
  <c r="F65" i="28"/>
  <c r="G65" i="28"/>
  <c r="I65" i="28"/>
  <c r="J65" i="28"/>
  <c r="C66" i="28"/>
  <c r="D66" i="28"/>
  <c r="E66" i="28"/>
  <c r="F66" i="28"/>
  <c r="G66" i="28"/>
  <c r="I66" i="28"/>
  <c r="J66" i="28"/>
  <c r="C67" i="28"/>
  <c r="D67" i="28"/>
  <c r="E67" i="28"/>
  <c r="F67" i="28"/>
  <c r="G67" i="28"/>
  <c r="I67" i="28"/>
  <c r="J67" i="28"/>
  <c r="C68" i="28"/>
  <c r="D68" i="28"/>
  <c r="E68" i="28"/>
  <c r="F68" i="28"/>
  <c r="G68" i="28"/>
  <c r="I68" i="28"/>
  <c r="J68" i="28"/>
  <c r="C69" i="28"/>
  <c r="D69" i="28"/>
  <c r="E69" i="28"/>
  <c r="F69" i="28"/>
  <c r="G69" i="28"/>
  <c r="I69" i="28"/>
  <c r="J69" i="28"/>
  <c r="C70" i="28"/>
  <c r="D70" i="28"/>
  <c r="E70" i="28"/>
  <c r="F70" i="28"/>
  <c r="G70" i="28"/>
  <c r="I70" i="28"/>
  <c r="J70" i="28"/>
  <c r="C71" i="28"/>
  <c r="D71" i="28"/>
  <c r="E71" i="28"/>
  <c r="F71" i="28"/>
  <c r="G71" i="28"/>
  <c r="I71" i="28"/>
  <c r="J71" i="28"/>
  <c r="C72" i="28"/>
  <c r="D72" i="28"/>
  <c r="E72" i="28"/>
  <c r="F72" i="28"/>
  <c r="G72" i="28"/>
  <c r="I72" i="28"/>
  <c r="J72" i="28"/>
  <c r="C73" i="28"/>
  <c r="D73" i="28"/>
  <c r="E73" i="28"/>
  <c r="F73" i="28"/>
  <c r="G73" i="28"/>
  <c r="I73" i="28"/>
  <c r="J73" i="28"/>
  <c r="C74" i="28"/>
  <c r="D74" i="28"/>
  <c r="E74" i="28"/>
  <c r="F74" i="28"/>
  <c r="G74" i="28"/>
  <c r="I74" i="28"/>
  <c r="J74" i="28"/>
  <c r="C75" i="28"/>
  <c r="D75" i="28"/>
  <c r="E75" i="28"/>
  <c r="F75" i="28"/>
  <c r="G75" i="28"/>
  <c r="I75" i="28"/>
  <c r="J75" i="28"/>
  <c r="C76" i="28"/>
  <c r="D76" i="28"/>
  <c r="E76" i="28"/>
  <c r="F76" i="28"/>
  <c r="G76" i="28"/>
  <c r="I76" i="28"/>
  <c r="J76" i="28"/>
  <c r="C77" i="28"/>
  <c r="D77" i="28"/>
  <c r="E77" i="28"/>
  <c r="F77" i="28"/>
  <c r="G77" i="28"/>
  <c r="I77" i="28"/>
  <c r="J77" i="28"/>
  <c r="C78" i="28"/>
  <c r="D78" i="28"/>
  <c r="E78" i="28"/>
  <c r="F78" i="28"/>
  <c r="G78" i="28"/>
  <c r="I78" i="28"/>
  <c r="J78" i="28"/>
  <c r="C79" i="28"/>
  <c r="D79" i="28"/>
  <c r="E79" i="28"/>
  <c r="F79" i="28"/>
  <c r="G79" i="28"/>
  <c r="I79" i="28"/>
  <c r="J79" i="2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9">
    <bk>
      <extLst>
        <ext uri="{3e2802c4-a4d2-4d8b-9148-e3be6c30e623}">
          <xlrd:rvb i="0"/>
        </ext>
      </extLst>
    </bk>
    <bk>
      <extLst>
        <ext uri="{3e2802c4-a4d2-4d8b-9148-e3be6c30e623}">
          <xlrd:rvb i="7"/>
        </ext>
      </extLst>
    </bk>
    <bk>
      <extLst>
        <ext uri="{3e2802c4-a4d2-4d8b-9148-e3be6c30e623}">
          <xlrd:rvb i="10"/>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1"/>
        </ext>
      </extLst>
    </bk>
    <bk>
      <extLst>
        <ext uri="{3e2802c4-a4d2-4d8b-9148-e3be6c30e623}">
          <xlrd:rvb i="124"/>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9"/>
        </ext>
      </extLst>
    </bk>
    <bk>
      <extLst>
        <ext uri="{3e2802c4-a4d2-4d8b-9148-e3be6c30e623}">
          <xlrd:rvb i="202"/>
        </ext>
      </extLst>
    </bk>
  </futureMetadata>
  <valueMetadata count="6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valueMetadata>
</metadata>
</file>

<file path=xl/sharedStrings.xml><?xml version="1.0" encoding="utf-8"?>
<sst xmlns="http://schemas.openxmlformats.org/spreadsheetml/2006/main" count="1699" uniqueCount="595">
  <si>
    <t xml:space="preserve"> PROCESSO ALOCAÇÃO</t>
  </si>
  <si>
    <t>ULTRACONSERVADOR</t>
  </si>
  <si>
    <t>Mín</t>
  </si>
  <si>
    <t>Neutro</t>
  </si>
  <si>
    <t xml:space="preserve">Máx </t>
  </si>
  <si>
    <t xml:space="preserve">RF Pós </t>
  </si>
  <si>
    <t>Fundos de Invest.</t>
  </si>
  <si>
    <t>Imediato</t>
  </si>
  <si>
    <t>1 a 30 dias</t>
  </si>
  <si>
    <t>31 a 180 dias</t>
  </si>
  <si>
    <t>181 a 360 dias</t>
  </si>
  <si>
    <t>361+ dias</t>
  </si>
  <si>
    <t>FiInfra e Cetipados</t>
  </si>
  <si>
    <t>RF Pré</t>
  </si>
  <si>
    <t xml:space="preserve"> </t>
  </si>
  <si>
    <t>RF Inflação</t>
  </si>
  <si>
    <t>RV Brasil</t>
  </si>
  <si>
    <t xml:space="preserve">Internacional </t>
  </si>
  <si>
    <t xml:space="preserve">30% de Renda </t>
  </si>
  <si>
    <t>60% a 80% de Renda</t>
  </si>
  <si>
    <t>*20% de Liquidez</t>
  </si>
  <si>
    <t>CONSERVADOR</t>
  </si>
  <si>
    <t>CONSERVADOR RENDA CONSTRUÇÃO</t>
  </si>
  <si>
    <t>CONSERVADOR RENDA USUFRUTO</t>
  </si>
  <si>
    <t xml:space="preserve">CONSERVADOR INTERNACIONAL </t>
  </si>
  <si>
    <t>CONSERVADOR INT. RENDA CONSTRUÇÃO</t>
  </si>
  <si>
    <t>CONSERVADOR INT. RENDA USUFRUTO</t>
  </si>
  <si>
    <t>Bancário</t>
  </si>
  <si>
    <t>1,5%</t>
  </si>
  <si>
    <t>2,5%</t>
  </si>
  <si>
    <t>Tesouro</t>
  </si>
  <si>
    <t>7,5%</t>
  </si>
  <si>
    <t>FiInfra e Cetipado</t>
  </si>
  <si>
    <t>Crédito Privado</t>
  </si>
  <si>
    <t>Ações Qualidade</t>
  </si>
  <si>
    <t>Ações Renda</t>
  </si>
  <si>
    <t>FIIs</t>
  </si>
  <si>
    <t>Renda Fixa</t>
  </si>
  <si>
    <t>Renda Variável</t>
  </si>
  <si>
    <t>MODERADO</t>
  </si>
  <si>
    <t>MODERADO RENDA CONSTRUÇÃO</t>
  </si>
  <si>
    <t>MODERADO RENDA USUFRUTO</t>
  </si>
  <si>
    <t>12,5%</t>
  </si>
  <si>
    <t>ARROJADO</t>
  </si>
  <si>
    <t>ARROJADO RENDA CONSTRUÇÃO</t>
  </si>
  <si>
    <t>ARROJADO RENDA USUFRUTO</t>
  </si>
  <si>
    <t xml:space="preserve">Classe </t>
  </si>
  <si>
    <t>Sub-classe</t>
  </si>
  <si>
    <t>Veículo</t>
  </si>
  <si>
    <t>Produto</t>
  </si>
  <si>
    <t>Critérios</t>
  </si>
  <si>
    <t>Ativos Financeiros "Liquidez"</t>
  </si>
  <si>
    <t>Emissão Bancária</t>
  </si>
  <si>
    <t>CDB, LCA, LCI, LF, LC, LCD, LIG</t>
  </si>
  <si>
    <r>
      <rPr>
        <sz val="12"/>
        <color rgb="FF000000"/>
        <rFont val="Calibri"/>
        <scheme val="minor"/>
      </rPr>
      <t>Rating AAA, AA, A, Máx 2% do PL em um único ativo. 
Instituição financeira aprovada na aba</t>
    </r>
    <r>
      <rPr>
        <b/>
        <sz val="12"/>
        <color rgb="FF000000"/>
        <rFont val="Calibri"/>
        <scheme val="minor"/>
      </rPr>
      <t xml:space="preserve"> "Bancário", </t>
    </r>
    <r>
      <rPr>
        <sz val="12"/>
        <color rgb="FF000000"/>
        <rFont val="Calibri"/>
        <scheme val="minor"/>
      </rPr>
      <t>com confiabilidade maior ou igual a</t>
    </r>
    <r>
      <rPr>
        <b/>
        <sz val="12"/>
        <color rgb="FF000000"/>
        <rFont val="Calibri"/>
        <scheme val="minor"/>
      </rPr>
      <t xml:space="preserve"> 80%.</t>
    </r>
  </si>
  <si>
    <t xml:space="preserve">DEBÊNTURES </t>
  </si>
  <si>
    <r>
      <rPr>
        <sz val="12"/>
        <color rgb="FF000000"/>
        <rFont val="Calibri"/>
        <scheme val="minor"/>
      </rPr>
      <t xml:space="preserve">Rating AAA, AA, Máx 2% do PL em um único ativo.
Empresas listadas em bolsa e presentes na lista de investíveis na aba </t>
    </r>
    <r>
      <rPr>
        <b/>
        <sz val="12"/>
        <color rgb="FF000000"/>
        <rFont val="Calibri"/>
        <scheme val="minor"/>
      </rPr>
      <t>"Ações e ETFs".</t>
    </r>
  </si>
  <si>
    <t xml:space="preserve">FI Infra &amp; Cetipados </t>
  </si>
  <si>
    <r>
      <rPr>
        <sz val="12"/>
        <color rgb="FF000000"/>
        <rFont val="Calibri"/>
      </rPr>
      <t xml:space="preserve">aba </t>
    </r>
    <r>
      <rPr>
        <b/>
        <u/>
        <sz val="12"/>
        <color rgb="FF000000"/>
        <rFont val="Calibri"/>
      </rPr>
      <t>"Fundos de Infra &amp; Cetipados"</t>
    </r>
  </si>
  <si>
    <t xml:space="preserve">Gestores Selecionados </t>
  </si>
  <si>
    <t>Fundos de investimentos</t>
  </si>
  <si>
    <r>
      <rPr>
        <sz val="12"/>
        <color rgb="FF000000"/>
        <rFont val="Calibri"/>
      </rPr>
      <t xml:space="preserve">aba </t>
    </r>
    <r>
      <rPr>
        <b/>
        <u/>
        <sz val="12"/>
        <color rgb="FF000000"/>
        <rFont val="Calibri"/>
      </rPr>
      <t>"Gestoras e Fundos"</t>
    </r>
  </si>
  <si>
    <t>Título Público</t>
  </si>
  <si>
    <t xml:space="preserve">Título Púlico do Tesouro </t>
  </si>
  <si>
    <t xml:space="preserve">Sem limite máximo </t>
  </si>
  <si>
    <t xml:space="preserve">Ações e Participações Societárias (Equity) </t>
  </si>
  <si>
    <t>Gestão Terceiros</t>
  </si>
  <si>
    <t xml:space="preserve">Ações </t>
  </si>
  <si>
    <r>
      <rPr>
        <sz val="12"/>
        <color rgb="FF000000"/>
        <rFont val="Aptos Narrow"/>
        <scheme val="minor"/>
      </rPr>
      <t>aba "</t>
    </r>
    <r>
      <rPr>
        <b/>
        <u/>
        <sz val="12"/>
        <color rgb="FF000000"/>
        <rFont val="Aptos Narrow"/>
        <scheme val="minor"/>
      </rPr>
      <t xml:space="preserve">Ações, ETFs" </t>
    </r>
  </si>
  <si>
    <r>
      <rPr>
        <b/>
        <sz val="12"/>
        <color rgb="FF000000"/>
        <rFont val="Calibri"/>
        <scheme val="minor"/>
      </rPr>
      <t xml:space="preserve">Foco em:
</t>
    </r>
    <r>
      <rPr>
        <sz val="12"/>
        <color rgb="FF000000"/>
        <rFont val="Calibri"/>
        <scheme val="minor"/>
      </rPr>
      <t xml:space="preserve">Empresas maduras e com sólido histórico ao longo do tempo;
Setores perenes (anticíclicos), com previsibilidade maior de resultado e menor volatilidade;
Empresas com gestão reconhecida pela qualidade;
Histórico de alocação de capital e/ou distribuição eficiente;
Empresas com vantagens competitivas (Custo baixo, Marca forte, Barreira de entrada);
</t>
    </r>
    <r>
      <rPr>
        <b/>
        <sz val="12"/>
        <color rgb="FF000000"/>
        <rFont val="Calibri"/>
        <scheme val="minor"/>
      </rPr>
      <t xml:space="preserve">Critérios
</t>
    </r>
    <r>
      <rPr>
        <sz val="12"/>
        <color rgb="FF000000"/>
        <rFont val="Calibri"/>
        <scheme val="minor"/>
      </rPr>
      <t xml:space="preserve">Receita crescente ao longo dos anos;
Lucros consistentes;
Setores de margem líquida historicamente elevada (&gt; 10%);
Endividamento dentro dos padrões do setor (Preferencialmente &lt;3,0x).
</t>
    </r>
    <r>
      <rPr>
        <b/>
        <sz val="12"/>
        <color rgb="FF000000"/>
        <rFont val="Calibri"/>
        <scheme val="minor"/>
      </rPr>
      <t>Critérios de Saída:
Carteira:</t>
    </r>
    <r>
      <rPr>
        <sz val="12"/>
        <color rgb="FF000000"/>
        <rFont val="Calibri"/>
        <scheme val="minor"/>
      </rPr>
      <t xml:space="preserve"> Mudança estrutural no foco ou nas operações da empresa que prejudique seu crescimento e/ou sua tese no longo prazo. Desenquadramento dos critérios previamente estabelecidos por um prazo maior ou igual a 24 meses.
</t>
    </r>
    <r>
      <rPr>
        <b/>
        <sz val="12"/>
        <color rgb="FF000000"/>
        <rFont val="Calibri"/>
        <scheme val="minor"/>
      </rPr>
      <t xml:space="preserve">Lista de investiveis: </t>
    </r>
    <r>
      <rPr>
        <sz val="12"/>
        <color rgb="FF000000"/>
        <rFont val="Calibri"/>
        <scheme val="minor"/>
      </rPr>
      <t>Perda estrutural e/ou não recuperação da tese. Perda estrutural dos critérios previamente estabelecidos. (&gt;36 meses)</t>
    </r>
  </si>
  <si>
    <t xml:space="preserve">Imóveis </t>
  </si>
  <si>
    <t>Tijolo</t>
  </si>
  <si>
    <r>
      <rPr>
        <sz val="12"/>
        <color rgb="FF000000"/>
        <rFont val="Aptos Narrow"/>
        <scheme val="minor"/>
      </rPr>
      <t xml:space="preserve">aba </t>
    </r>
    <r>
      <rPr>
        <b/>
        <u/>
        <sz val="12"/>
        <color rgb="FF000000"/>
        <rFont val="Aptos Narrow"/>
        <scheme val="minor"/>
      </rPr>
      <t>"FII &amp; Fiagros"</t>
    </r>
  </si>
  <si>
    <r>
      <rPr>
        <b/>
        <sz val="12"/>
        <color rgb="FF000000"/>
        <rFont val="Calibri"/>
        <scheme val="minor"/>
      </rPr>
      <t xml:space="preserve">Critérios
</t>
    </r>
    <r>
      <rPr>
        <sz val="12"/>
        <color rgb="FF000000"/>
        <rFont val="Calibri"/>
        <scheme val="minor"/>
      </rPr>
      <t>Gestoras com reconhecimento no mercado imobiliário;
IPO há mais de 5 anos;
Valor de mercado acima de R$ 1 Bilhão;
Diversificação (+ de 5 imóveis);
Vacância controlada (&lt;10%);
Liquidez diária média acima de R$ 2 Milhões;
Despesas equilibradas;
Endividamento baixo (&lt;15%).</t>
    </r>
  </si>
  <si>
    <t>Internacional</t>
  </si>
  <si>
    <t>Ativos Internacionais</t>
  </si>
  <si>
    <t>Treasuries &amp; Bonds</t>
  </si>
  <si>
    <t>Títulos soberanos &amp; Bonds selecionados (máximo 5% PL )</t>
  </si>
  <si>
    <t xml:space="preserve">Renda Variável </t>
  </si>
  <si>
    <t>ETFs &amp; Stocks</t>
  </si>
  <si>
    <t xml:space="preserve">Ativos selecionados </t>
  </si>
  <si>
    <t>Imóveis</t>
  </si>
  <si>
    <t>Private Equity &amp; REITs</t>
  </si>
  <si>
    <t>Setoes</t>
  </si>
  <si>
    <t>INVESTÍVEIS</t>
  </si>
  <si>
    <t>CARTEIRA QUALIDADE BASE</t>
  </si>
  <si>
    <t>CARTEIRA RENDA 
BASE</t>
  </si>
  <si>
    <t>CARTEIRA BASE [US]</t>
  </si>
  <si>
    <t>ATIVOS ESTRATÉGICOS EUA</t>
  </si>
  <si>
    <t xml:space="preserve">ESTRATÉGIA </t>
  </si>
  <si>
    <t>CARTEIRA</t>
  </si>
  <si>
    <t>Utilities</t>
  </si>
  <si>
    <t>AXIA3</t>
  </si>
  <si>
    <t>CPLE3</t>
  </si>
  <si>
    <t>Bitcoin</t>
  </si>
  <si>
    <t>EQTL3</t>
  </si>
  <si>
    <t>EGIE3</t>
  </si>
  <si>
    <t>Ouro</t>
  </si>
  <si>
    <t>SBSP3</t>
  </si>
  <si>
    <t>Prata</t>
  </si>
  <si>
    <t>ITUB3</t>
  </si>
  <si>
    <t>Tecnologia</t>
  </si>
  <si>
    <t>Arrojada</t>
  </si>
  <si>
    <t>ENGIE BRASIL ENERGIA S.A. (BVMF:EGIE3)</t>
  </si>
  <si>
    <t>BPAC11</t>
  </si>
  <si>
    <t xml:space="preserve">VALE3 </t>
  </si>
  <si>
    <t>Exposição Europa</t>
  </si>
  <si>
    <t>PSSA3</t>
  </si>
  <si>
    <t>ALOS3</t>
  </si>
  <si>
    <t>Exposição China</t>
  </si>
  <si>
    <t>Companhia de Saneamento Básico do Estado de São Paulo - SABESP (BVMF:SBSP3)</t>
  </si>
  <si>
    <t>PRIO3</t>
  </si>
  <si>
    <t>Dividendos</t>
  </si>
  <si>
    <t>Moderada</t>
  </si>
  <si>
    <t>ABEV3</t>
  </si>
  <si>
    <t>Crédito</t>
  </si>
  <si>
    <t>WEGE3</t>
  </si>
  <si>
    <t>RENT3</t>
  </si>
  <si>
    <t>FLRY3</t>
  </si>
  <si>
    <t>REITs (Imobiliário)</t>
  </si>
  <si>
    <t>Financeiro</t>
  </si>
  <si>
    <t>Exposição Brasil</t>
  </si>
  <si>
    <t>CARTEIRA QUALIDADE EXTENDIDA</t>
  </si>
  <si>
    <t>CARTEIRA RENDA EXTENDIDA</t>
  </si>
  <si>
    <t xml:space="preserve">Holding Híbrida </t>
  </si>
  <si>
    <t xml:space="preserve">Energia </t>
  </si>
  <si>
    <t>B3SA3</t>
  </si>
  <si>
    <t>SAPR11</t>
  </si>
  <si>
    <t>JHSF3</t>
  </si>
  <si>
    <t>LEVE3</t>
  </si>
  <si>
    <t xml:space="preserve">CARTEIRA BASE ETFS BRASIL </t>
  </si>
  <si>
    <t>ATIVOS ESTRATÉGICOS BRASIL</t>
  </si>
  <si>
    <t>Commodities</t>
  </si>
  <si>
    <t>ALUP11</t>
  </si>
  <si>
    <t>Outros</t>
  </si>
  <si>
    <t>Fleury S.A. (BVMF:FLRY3)</t>
  </si>
  <si>
    <t>Exposição EUA</t>
  </si>
  <si>
    <t>JHS F Participações S.A (BVMF:JHSF3)</t>
  </si>
  <si>
    <t>ALLOS S.A. (BVMF:ALOS3)</t>
  </si>
  <si>
    <t>Dividendos EUA</t>
  </si>
  <si>
    <t>MAHLE Metal Leve S.A (BVMF:LEVE3)</t>
  </si>
  <si>
    <t xml:space="preserve">Imobiliário EUA </t>
  </si>
  <si>
    <t xml:space="preserve">Tecnologia USA </t>
  </si>
  <si>
    <t>FII's Tijolo</t>
  </si>
  <si>
    <t>Fiagro</t>
  </si>
  <si>
    <t>Carteira FII's</t>
  </si>
  <si>
    <t>Estratégia</t>
  </si>
  <si>
    <t>HGLG11</t>
  </si>
  <si>
    <t xml:space="preserve">Logística </t>
  </si>
  <si>
    <t>HGRU11</t>
  </si>
  <si>
    <t>Renda Urbana</t>
  </si>
  <si>
    <t>KNCA11</t>
  </si>
  <si>
    <t xml:space="preserve">Agro </t>
  </si>
  <si>
    <t>KNCR11</t>
  </si>
  <si>
    <t>CDI</t>
  </si>
  <si>
    <t>KNIP11</t>
  </si>
  <si>
    <t>IPCA</t>
  </si>
  <si>
    <t>FII's Papel</t>
  </si>
  <si>
    <t>KNRI11</t>
  </si>
  <si>
    <t>Logística/Corporativo</t>
  </si>
  <si>
    <t>PVBI11</t>
  </si>
  <si>
    <t>Lajes Corprativas</t>
  </si>
  <si>
    <t>XPML11</t>
  </si>
  <si>
    <t>Shopping</t>
  </si>
  <si>
    <t>FI INFRA &amp; CETIPADOS</t>
  </si>
  <si>
    <t>Lista de Investíveis</t>
  </si>
  <si>
    <t>Isenção</t>
  </si>
  <si>
    <t>Cetipado</t>
  </si>
  <si>
    <t>Pefil</t>
  </si>
  <si>
    <t>Gestoras</t>
  </si>
  <si>
    <t>Ativos</t>
  </si>
  <si>
    <t>Renda</t>
  </si>
  <si>
    <t>Ganho Cap</t>
  </si>
  <si>
    <t xml:space="preserve">SPARTA </t>
  </si>
  <si>
    <t>JURO11</t>
  </si>
  <si>
    <t>S</t>
  </si>
  <si>
    <t>N</t>
  </si>
  <si>
    <t>Conservador</t>
  </si>
  <si>
    <t>ITAÚ</t>
  </si>
  <si>
    <t>IFRA11</t>
  </si>
  <si>
    <t>KINEA</t>
  </si>
  <si>
    <t>KDIF11</t>
  </si>
  <si>
    <t>JGP</t>
  </si>
  <si>
    <t>JGPI11</t>
  </si>
  <si>
    <t>Arrojado</t>
  </si>
  <si>
    <t xml:space="preserve">IPCA </t>
  </si>
  <si>
    <t>BTG</t>
  </si>
  <si>
    <t>BDIF11</t>
  </si>
  <si>
    <t>Jive Mauá</t>
  </si>
  <si>
    <t>JMBI11</t>
  </si>
  <si>
    <t>Moderado</t>
  </si>
  <si>
    <t>Capitania</t>
  </si>
  <si>
    <t>CPTI11</t>
  </si>
  <si>
    <t>KNDI11</t>
  </si>
  <si>
    <t>CDII11</t>
  </si>
  <si>
    <t>IFRI11</t>
  </si>
  <si>
    <t>AZ Quest</t>
  </si>
  <si>
    <t>AZQI11</t>
  </si>
  <si>
    <t>KNCE11</t>
  </si>
  <si>
    <t>AZIN11</t>
  </si>
  <si>
    <t xml:space="preserve">Secundário </t>
  </si>
  <si>
    <t>JHSF</t>
  </si>
  <si>
    <t>FII JHSF Capital Malls Feeder</t>
  </si>
  <si>
    <t>Carteira CDI</t>
  </si>
  <si>
    <t>Carteira IPCA</t>
  </si>
  <si>
    <t>Carteira Qualidade</t>
  </si>
  <si>
    <t>Carteira FII</t>
  </si>
  <si>
    <t>Receita Líquida</t>
  </si>
  <si>
    <t xml:space="preserve">Lucro Líquido </t>
  </si>
  <si>
    <t>Margem líquida</t>
  </si>
  <si>
    <t>Endividamento</t>
  </si>
  <si>
    <t>TICKER</t>
  </si>
  <si>
    <t>Tipo</t>
  </si>
  <si>
    <t xml:space="preserve">Gestor </t>
  </si>
  <si>
    <t>Segmento</t>
  </si>
  <si>
    <t>PL</t>
  </si>
  <si>
    <t>Liquidez</t>
  </si>
  <si>
    <t>Vacância</t>
  </si>
  <si>
    <t>Idade (Anos)</t>
  </si>
  <si>
    <t>Kinea</t>
  </si>
  <si>
    <t>Hibrido</t>
  </si>
  <si>
    <t>XP Asset</t>
  </si>
  <si>
    <t>Patria</t>
  </si>
  <si>
    <t>ITUB4</t>
  </si>
  <si>
    <t>Papel</t>
  </si>
  <si>
    <t>Agro</t>
  </si>
  <si>
    <t>Carteira  Renda</t>
  </si>
  <si>
    <t>ENGI3</t>
  </si>
  <si>
    <t>Gestora</t>
  </si>
  <si>
    <t>Classificação</t>
  </si>
  <si>
    <t>Fundo</t>
  </si>
  <si>
    <t>Liquidez (D+)</t>
  </si>
  <si>
    <t>Perfil</t>
  </si>
  <si>
    <t>Condição</t>
  </si>
  <si>
    <t>Previdência</t>
  </si>
  <si>
    <t>Estretégia/Objetivo</t>
  </si>
  <si>
    <t>Contato</t>
  </si>
  <si>
    <t>CNPJ</t>
  </si>
  <si>
    <t>RF Pós</t>
  </si>
  <si>
    <t>BNP Paribas</t>
  </si>
  <si>
    <t>BNP Paribas Match DI</t>
  </si>
  <si>
    <t xml:space="preserve">ABERTO </t>
  </si>
  <si>
    <t>Não</t>
  </si>
  <si>
    <t xml:space="preserve">Replicar CDI </t>
  </si>
  <si>
    <t>Sim</t>
  </si>
  <si>
    <t>09.636.393/0001-07</t>
  </si>
  <si>
    <t>RF Inf</t>
  </si>
  <si>
    <t>Bradesco</t>
  </si>
  <si>
    <t>Bradesco SKY</t>
  </si>
  <si>
    <t>04.831.907/0001-53</t>
  </si>
  <si>
    <t>Bradesco Bancos II</t>
  </si>
  <si>
    <t xml:space="preserve">Conservador </t>
  </si>
  <si>
    <t>51.293.148/0001-00</t>
  </si>
  <si>
    <t>Safra</t>
  </si>
  <si>
    <t>Safra DI Master</t>
  </si>
  <si>
    <t xml:space="preserve"> 02.536.364/0001-16</t>
  </si>
  <si>
    <t>Safra Extra Bancos</t>
  </si>
  <si>
    <t>20.441.483/0001-77</t>
  </si>
  <si>
    <t>Tivio</t>
  </si>
  <si>
    <t>Tivio Institucional</t>
  </si>
  <si>
    <t>FECHADO</t>
  </si>
  <si>
    <t>vivian.oka@tivio.com</t>
  </si>
  <si>
    <t>SIm</t>
  </si>
  <si>
    <t>06.866.051/0001-87</t>
  </si>
  <si>
    <t>Tivio Banks</t>
  </si>
  <si>
    <t>10.347.493/0001-94</t>
  </si>
  <si>
    <t>BTG Yield DI FIRF Ref CrPr</t>
  </si>
  <si>
    <t xml:space="preserve">Bernardo Guimarães/Rodrigo Rocha </t>
  </si>
  <si>
    <t>00.840.011/0001-80</t>
  </si>
  <si>
    <t xml:space="preserve">Riza </t>
  </si>
  <si>
    <t xml:space="preserve">RF Pós	</t>
  </si>
  <si>
    <t xml:space="preserve">Riza Lotus </t>
  </si>
  <si>
    <t xml:space="preserve">Sim </t>
  </si>
  <si>
    <t xml:space="preserve">Crédito High Grade </t>
  </si>
  <si>
    <t xml:space="preserve">Rafael Brito </t>
  </si>
  <si>
    <t>36.498.670/0001-27</t>
  </si>
  <si>
    <t>Absolute</t>
  </si>
  <si>
    <t>Absolute Atenas</t>
  </si>
  <si>
    <t>Crédito High Grade</t>
  </si>
  <si>
    <t>Natalia Levy</t>
  </si>
  <si>
    <t>50.251.934/0001-74</t>
  </si>
  <si>
    <t xml:space="preserve">AZ Quest </t>
  </si>
  <si>
    <t>Valore FI RF CP</t>
  </si>
  <si>
    <t>clara.campoli@azquest.com.br</t>
  </si>
  <si>
    <t>19.782.311/0001-88</t>
  </si>
  <si>
    <t>Bradesco Zupo</t>
  </si>
  <si>
    <t>34.109.809/0001-78</t>
  </si>
  <si>
    <t>XP</t>
  </si>
  <si>
    <t>XP Corporate Light</t>
  </si>
  <si>
    <t>ri@xpasset.com.br</t>
  </si>
  <si>
    <t>11.046.179/0001-34</t>
  </si>
  <si>
    <t>BNP Paribas Rubi FIC FIRF CP</t>
  </si>
  <si>
    <t>21.185.984/0001-00</t>
  </si>
  <si>
    <t>Tivio Institucional 15</t>
  </si>
  <si>
    <t>Superar CDI</t>
  </si>
  <si>
    <t>04.240.128/0001-83</t>
  </si>
  <si>
    <t>BNP Paribas Match Plus</t>
  </si>
  <si>
    <t>50.098.505/0001-09</t>
  </si>
  <si>
    <t>XP Corporate Top</t>
  </si>
  <si>
    <t>04.621.721/0001-70</t>
  </si>
  <si>
    <t>Bradesco Ultra II</t>
  </si>
  <si>
    <t xml:space="preserve">Crédito Privado </t>
  </si>
  <si>
    <t>55.315.627/0001-23</t>
  </si>
  <si>
    <t>Absolute Creta</t>
  </si>
  <si>
    <t>48.096.240/0001 -68</t>
  </si>
  <si>
    <t>Safra Vitesse</t>
  </si>
  <si>
    <t xml:space="preserve"> 11.447.124/0001-36</t>
  </si>
  <si>
    <t>XP CDI Debêntures Inc</t>
  </si>
  <si>
    <t xml:space="preserve">Deb. Incentivadas </t>
  </si>
  <si>
    <t>26.803.233/0001-16</t>
  </si>
  <si>
    <t>Real Investor</t>
  </si>
  <si>
    <t>Real Investor Crédito Estruturado 30</t>
  </si>
  <si>
    <t>FIDCs</t>
  </si>
  <si>
    <t>ri@realinvestor.com.br</t>
  </si>
  <si>
    <t>Solis Capital</t>
  </si>
  <si>
    <t>Solis Capital Antares Light FIC FIM CP</t>
  </si>
  <si>
    <t>Carlos Eduardo Camargo</t>
  </si>
  <si>
    <t>34.780.531/0001-66</t>
  </si>
  <si>
    <t>Solis Capital Antares Advisory CP FIC FIM LP</t>
  </si>
  <si>
    <t>34.583.819/0001-40</t>
  </si>
  <si>
    <t>Solis Capital Pioneiro FIC FIDC</t>
  </si>
  <si>
    <t>55.318.040/0001-78</t>
  </si>
  <si>
    <t>Capitânia</t>
  </si>
  <si>
    <t>Capitânia Infra Renda 90 Incentivado Infraestrutura RF CP</t>
  </si>
  <si>
    <t>invest@capitaniainvestimentos.com.br</t>
  </si>
  <si>
    <t>52.248.139/0001-52</t>
  </si>
  <si>
    <t>Jive</t>
  </si>
  <si>
    <t>Jive BossaNova 90 FIDC</t>
  </si>
  <si>
    <t>ir@jivemaua.com.br</t>
  </si>
  <si>
    <t>58.893.662/0001-18</t>
  </si>
  <si>
    <t xml:space="preserve">XP </t>
  </si>
  <si>
    <t>XP Crédito Estruturado 90 FIDC RL</t>
  </si>
  <si>
    <t>Crédito Estruturado</t>
  </si>
  <si>
    <t>61.802.352/0001-55</t>
  </si>
  <si>
    <t>Kinea Oportunidade</t>
  </si>
  <si>
    <t>relacionamento@kinea.com.br</t>
  </si>
  <si>
    <t xml:space="preserve">32.990.051/0001-02 </t>
  </si>
  <si>
    <t>Capitânia Yield 120 </t>
  </si>
  <si>
    <t>Cotas Sênior de FIDCs</t>
  </si>
  <si>
    <t>50.367.933/0001-90</t>
  </si>
  <si>
    <t>TIVIO ALT 90 FIDC RL</t>
  </si>
  <si>
    <t xml:space="preserve"> 61.020.441/0001-40</t>
  </si>
  <si>
    <t>Tivio Alt Credito High Yield 180 FIDC RL</t>
  </si>
  <si>
    <t>58.038.938/0001-80</t>
  </si>
  <si>
    <t>Jive BossaNova High yield Advisory FIC FIM</t>
  </si>
  <si>
    <t xml:space="preserve">Crédito High Yield </t>
  </si>
  <si>
    <t>43.121.036/0001-36</t>
  </si>
  <si>
    <t>JGP Crédito Ecossitema 360 Advisory FIC FIM</t>
  </si>
  <si>
    <t xml:space="preserve">Maria Salgado </t>
  </si>
  <si>
    <t>45.683.300/0001-50</t>
  </si>
  <si>
    <t>SPX</t>
  </si>
  <si>
    <t>SPX Patriot FIC FIA</t>
  </si>
  <si>
    <t>Ações Long Only</t>
  </si>
  <si>
    <t>ri@spxcapital.com</t>
  </si>
  <si>
    <t>15.334.585/0001-53</t>
  </si>
  <si>
    <t>Kapitalo</t>
  </si>
  <si>
    <t xml:space="preserve">Kaítalo Tarkus FIC FIA </t>
  </si>
  <si>
    <t>Ações Long Biased</t>
  </si>
  <si>
    <t>atendimento@kapitalo.com.br</t>
  </si>
  <si>
    <t>28.747.685/0001-53</t>
  </si>
  <si>
    <t>Encore</t>
  </si>
  <si>
    <t xml:space="preserve">Encore Valor Dividendos FIF Ações </t>
  </si>
  <si>
    <t>comercial@encore.am.</t>
  </si>
  <si>
    <t>62.808.774/0001-09</t>
  </si>
  <si>
    <t>Absolute Pace LB Advisory FIC FIA</t>
  </si>
  <si>
    <t xml:space="preserve">32.073.525/0001-43 </t>
  </si>
  <si>
    <t>Constellattion</t>
  </si>
  <si>
    <t>Constellation Institucional</t>
  </si>
  <si>
    <t>cliente@const.com.br</t>
  </si>
  <si>
    <t>16.948.298/0001-04</t>
  </si>
  <si>
    <t>Encore LB  FIC FIM</t>
  </si>
  <si>
    <t>37.487.351/0001-89</t>
  </si>
  <si>
    <t>Guepardo</t>
  </si>
  <si>
    <t>Guepardo Institucional FIF em Cotas FIA RL</t>
  </si>
  <si>
    <t>carlos.cavalcanti@guepardoinvest.com.br</t>
  </si>
  <si>
    <t>08.830.947/0001-31</t>
  </si>
  <si>
    <t>Dahlia</t>
  </si>
  <si>
    <t>Dahlia Total Return</t>
  </si>
  <si>
    <t>Ações Brasil e MM EUA</t>
  </si>
  <si>
    <t>Karime Saleh/Gabriella Tak</t>
  </si>
  <si>
    <t>30.317.454/0001-51</t>
  </si>
  <si>
    <t>Real Investor FIC de FIF em Ações</t>
  </si>
  <si>
    <t xml:space="preserve">Ações Long &amp; Short </t>
  </si>
  <si>
    <t>10.500.884/0001-05</t>
  </si>
  <si>
    <t>Neuberger Berman</t>
  </si>
  <si>
    <t>Neuberger Berman US MultiCap Opportunitie</t>
  </si>
  <si>
    <t xml:space="preserve">Special Sits/Opportunities </t>
  </si>
  <si>
    <t>20.485.402/0001-30</t>
  </si>
  <si>
    <t>Alternativos</t>
  </si>
  <si>
    <t xml:space="preserve">Gestoras </t>
  </si>
  <si>
    <t>Especialidade</t>
  </si>
  <si>
    <t>Vinci Compass</t>
  </si>
  <si>
    <t>Private Equity/Multi Class</t>
  </si>
  <si>
    <t>jassis@vincicompass.com</t>
  </si>
  <si>
    <t xml:space="preserve">Caravela </t>
  </si>
  <si>
    <t>Venture Capital</t>
  </si>
  <si>
    <t>richard@caravela.capital</t>
  </si>
  <si>
    <t>Nextsetp</t>
  </si>
  <si>
    <t>Equities US</t>
  </si>
  <si>
    <t>pilar@nextepinvestimentos.com.br</t>
  </si>
  <si>
    <t>Leste Capital</t>
  </si>
  <si>
    <t xml:space="preserve">Real Estate </t>
  </si>
  <si>
    <t>guilherme.loiacono@leste.com</t>
  </si>
  <si>
    <t xml:space="preserve">Ativore </t>
  </si>
  <si>
    <t>Real Estate US</t>
  </si>
  <si>
    <t>carolina.bellio@ativoreasset.com</t>
  </si>
  <si>
    <t xml:space="preserve">Análise de Inclusão </t>
  </si>
  <si>
    <t>V8</t>
  </si>
  <si>
    <t>Cash Platinum / Mercury</t>
  </si>
  <si>
    <t xml:space="preserve">Guepardo institucional </t>
  </si>
  <si>
    <t xml:space="preserve">Bancário </t>
  </si>
  <si>
    <t>GOLDMAN SACHS - PRUDENCIAL</t>
  </si>
  <si>
    <t>ITAU - PRUDENCIAL</t>
  </si>
  <si>
    <t>BRADESCO - PRUDENCIAL</t>
  </si>
  <si>
    <t>BTG PACTUAL - PRUDENCIAL</t>
  </si>
  <si>
    <t>SAFRA - PRUDENCIAL</t>
  </si>
  <si>
    <t>CITIBANK - PRUDENCIAL</t>
  </si>
  <si>
    <t>BOFA MERRILL LYNCH - PRUDENCIAL</t>
  </si>
  <si>
    <t>MORGAN STANLEY - PRUDENCIAL</t>
  </si>
  <si>
    <t>JP MORGAN CHASE - PRUDENCIAL</t>
  </si>
  <si>
    <t>SANTANDER - PRUDENCIAL</t>
  </si>
  <si>
    <t>XP - PRUDENCIAL</t>
  </si>
  <si>
    <t>Fundos Carteira PJ</t>
  </si>
  <si>
    <t xml:space="preserve">Bradesco  </t>
  </si>
  <si>
    <t xml:space="preserve">Vivian Oka </t>
  </si>
  <si>
    <t>Kinea RF Absoluto Subclasse I FI LP</t>
  </si>
  <si>
    <t>27.945.264/0001-74</t>
  </si>
  <si>
    <t>Peso</t>
  </si>
  <si>
    <t>Nota Máxima</t>
  </si>
  <si>
    <t>Fitch Ratings</t>
  </si>
  <si>
    <t>S&amp;P</t>
  </si>
  <si>
    <t>Moody´s</t>
  </si>
  <si>
    <t>Atribuição</t>
  </si>
  <si>
    <t>Escala</t>
  </si>
  <si>
    <t>Significado</t>
  </si>
  <si>
    <t>Emissores</t>
  </si>
  <si>
    <t>Basileia</t>
  </si>
  <si>
    <t>Imobilizado</t>
  </si>
  <si>
    <t>Lucro Líquido</t>
  </si>
  <si>
    <t>Receita</t>
  </si>
  <si>
    <t>Confiabilidade</t>
  </si>
  <si>
    <t xml:space="preserve">Somatório </t>
  </si>
  <si>
    <t>AF DESENVOLVE SP S.A. - PRUDENCIAL</t>
  </si>
  <si>
    <t>AAA</t>
  </si>
  <si>
    <t>QI SCD - PRUDENCIAL</t>
  </si>
  <si>
    <t>A+</t>
  </si>
  <si>
    <t>Aaa</t>
  </si>
  <si>
    <t>Grau de Investimento</t>
  </si>
  <si>
    <t>Qualidade alta e baixo risco</t>
  </si>
  <si>
    <t>AF DO ESTADO DE SC S.A. - PRUDENCIAL</t>
  </si>
  <si>
    <t>AA+</t>
  </si>
  <si>
    <t>Aa1</t>
  </si>
  <si>
    <t>BANCO B3 - PRUDENCIAL</t>
  </si>
  <si>
    <t>AA</t>
  </si>
  <si>
    <t>Aa2</t>
  </si>
  <si>
    <t>AGROLEND SCFI - PRUDENCIAL</t>
  </si>
  <si>
    <t>BBB+</t>
  </si>
  <si>
    <t>A1</t>
  </si>
  <si>
    <t>BNDES - PRUDENCIAL</t>
  </si>
  <si>
    <t>A</t>
  </si>
  <si>
    <t>A2</t>
  </si>
  <si>
    <t>A-</t>
  </si>
  <si>
    <t>A3</t>
  </si>
  <si>
    <t>UBS (BRASIL) - PRUDENCIAL</t>
  </si>
  <si>
    <t>SCOTIABANK BRASIL - PRUDENCIAL</t>
  </si>
  <si>
    <t>Baa1</t>
  </si>
  <si>
    <t>Qualidade média</t>
  </si>
  <si>
    <t>BCO MUFG BRASIL S.A. - PRUDENCIAL</t>
  </si>
  <si>
    <t>BBB-</t>
  </si>
  <si>
    <t>Baa3</t>
  </si>
  <si>
    <t>APE POUPEX - PRUDENCIAL</t>
  </si>
  <si>
    <t>AA-</t>
  </si>
  <si>
    <t>BANCO PACCAR - PRUDENCIAL</t>
  </si>
  <si>
    <t>BB</t>
  </si>
  <si>
    <t>Ba2</t>
  </si>
  <si>
    <t>BB+</t>
  </si>
  <si>
    <t>INTESA SANPAOLO BRASIL S.A. - PRUDENCIAL</t>
  </si>
  <si>
    <t>BB-</t>
  </si>
  <si>
    <t>Ba3</t>
  </si>
  <si>
    <t>BANCO TOPÁZIO S.A. - PRUDENCIAL</t>
  </si>
  <si>
    <t>B+</t>
  </si>
  <si>
    <t>B1</t>
  </si>
  <si>
    <t>BCO DES. DO ES S.A. - PRUDENCIAL</t>
  </si>
  <si>
    <t>B-</t>
  </si>
  <si>
    <t>B3</t>
  </si>
  <si>
    <t>ZEMA CFI - PRUDENCIAL</t>
  </si>
  <si>
    <t>Risco Alto de Inadimplência</t>
  </si>
  <si>
    <t>NATURA &amp;CO PAY SCD</t>
  </si>
  <si>
    <t>CCC</t>
  </si>
  <si>
    <t>Caa1</t>
  </si>
  <si>
    <t>CCC+</t>
  </si>
  <si>
    <t>HAITONG - PRUDENCIAL</t>
  </si>
  <si>
    <t>CC</t>
  </si>
  <si>
    <t>Caa2</t>
  </si>
  <si>
    <t>ICBC DO BRASIL BM S.A. - PRUDENCIAL</t>
  </si>
  <si>
    <t>DELCRED SCD - PRUDENCIAL</t>
  </si>
  <si>
    <t>BBB</t>
  </si>
  <si>
    <t>Limite:</t>
  </si>
  <si>
    <t>NU PAGAMENTOS - PRUDENCIAL</t>
  </si>
  <si>
    <t>Operar apenas com Risco maior ou igual a 50%</t>
  </si>
  <si>
    <t>Validadores: i) nota máxima; e, ii) escala de rating</t>
  </si>
  <si>
    <t>CAIXA ECONÔMICA FEDERAL - PRUDENCIAL</t>
  </si>
  <si>
    <t>BANRISUL - PRUDENCIAL</t>
  </si>
  <si>
    <t>VOTORANTIM - PRUDENCIAL</t>
  </si>
  <si>
    <t>INTER - PRUDENCIAL</t>
  </si>
  <si>
    <t>BNP PARIBAS - PRUDENCIAL</t>
  </si>
  <si>
    <t>MERCANTIL DO BRASIL - PRUDENCIAL</t>
  </si>
  <si>
    <t>BOCOM - PRUDENCIAL</t>
  </si>
  <si>
    <t>BD REGIONAL DO EXTREMO SUL - PRUDENCIAL</t>
  </si>
  <si>
    <t>BANCO CNH INDUSTRIAL CAPITAL S.A - PRUDENCIAL</t>
  </si>
  <si>
    <t>STELLANTIS - PRUDENCIAL</t>
  </si>
  <si>
    <t>CREDIT AGRICOLE - PRUDENCIAL</t>
  </si>
  <si>
    <t>MERCEDES-BENZ - PRUDENCIAL</t>
  </si>
  <si>
    <t>GM - PRUDENCIAL</t>
  </si>
  <si>
    <t>BR PARTNERS - PRUDENCIAL</t>
  </si>
  <si>
    <t>DEUTSCHE - PRUDENCIAL</t>
  </si>
  <si>
    <t>BANCO HSBC - PRUDENCIAL</t>
  </si>
  <si>
    <t>BCO DES. DE MG S.A. - PRUDENCIAL</t>
  </si>
  <si>
    <t>BCO INBURSA S.A. - PRUDENCIAL</t>
  </si>
  <si>
    <t>BANCO DIGIMAIS - PRUDENCIAL</t>
  </si>
  <si>
    <t>RODOBENS - PRUDENCIAL</t>
  </si>
  <si>
    <t>RENDIMENTO - PRUDENCIAL</t>
  </si>
  <si>
    <t>BCO LUSO BRASILEIRO S.A. - PRUDENCIAL</t>
  </si>
  <si>
    <t>OURIBANK - PRUDENCIAL</t>
  </si>
  <si>
    <t>BCO GUANABARA S.A. - PRUDENCIAL</t>
  </si>
  <si>
    <t>BANCO BARI DE INVESTIMENTO E FINANCI. - PRUDENCIAL</t>
  </si>
  <si>
    <t>RANDON - PRUDENCIAL</t>
  </si>
  <si>
    <t>PICPAY - PRUDENCIAL</t>
  </si>
  <si>
    <t>BB - PRUDENCIAL</t>
  </si>
  <si>
    <t>BANCO C6 - PRUDENCIAL</t>
  </si>
  <si>
    <t>BCO DAYCOVAL S.A - PRUDENCIAL</t>
  </si>
  <si>
    <t>BCO DO NORDESTE DO BRASIL S.A. - PRUDENCIAL</t>
  </si>
  <si>
    <t>BCO DA AMAZONIA S.A. - PRUDENCIAL</t>
  </si>
  <si>
    <t>VOLKSWAGEN - PRUDENCIAL</t>
  </si>
  <si>
    <t>BCO RABOBANK INTL BRASIL S.A. - PRUDENCIAL</t>
  </si>
  <si>
    <t>BMG - PRUDENCIAL</t>
  </si>
  <si>
    <t>BANESTES - PRUDENCIAL</t>
  </si>
  <si>
    <t>BCO CSF S.A. - PRUDENCIAL</t>
  </si>
  <si>
    <t>BCO DO EST. DO PA S.A. - PRUDENCIAL</t>
  </si>
  <si>
    <t>SCANIA - PRUDENCIAL</t>
  </si>
  <si>
    <t>BCO DO EST. DE SE S.A. - PRUDENCIAL</t>
  </si>
  <si>
    <t>BCO TOYOTA DO BRASIL S.A. - PRUDENCIAL</t>
  </si>
  <si>
    <t>PARANÁ BANCO - PRUDENCIAL</t>
  </si>
  <si>
    <t>BS2 - PRUDENCIAL</t>
  </si>
  <si>
    <t>BCO TRIANGULO S.A. - PRUDENCIAL</t>
  </si>
  <si>
    <t>ANDBANK - PRUDENCIAL</t>
  </si>
  <si>
    <t>BANCO RIBEIRÃO PRETO - PRUDENCIAL</t>
  </si>
  <si>
    <t>Andamento</t>
  </si>
  <si>
    <t>Executado</t>
  </si>
  <si>
    <t xml:space="preserve">Sugestões de Aprimoramento do Manual </t>
  </si>
  <si>
    <t xml:space="preserve">Em andamento </t>
  </si>
  <si>
    <t xml:space="preserve">Planilha </t>
  </si>
  <si>
    <t>Sugestão/Ação</t>
  </si>
  <si>
    <t>Em espera</t>
  </si>
  <si>
    <t xml:space="preserve">Implementar a planilha de controle bancário </t>
  </si>
  <si>
    <t>Asset Allocation</t>
  </si>
  <si>
    <t>Revisar pesos e bandas</t>
  </si>
  <si>
    <t>Pensar sobre a inclusão de novos Perfis (Ex: Renda)</t>
  </si>
  <si>
    <t xml:space="preserve">Enquadrar novos perfis caso adicionados </t>
  </si>
  <si>
    <t xml:space="preserve">Classe de ativos </t>
  </si>
  <si>
    <t xml:space="preserve">(Renda fixa) Revisar e aprimorar os critérios </t>
  </si>
  <si>
    <t>(Equity) Revisar e aprimorar os critérios (Adc. Qualitativo)</t>
  </si>
  <si>
    <t>(Imóveis) Revisar e aprimorar os critérios</t>
  </si>
  <si>
    <t>(Internacional) Revisar e aprimorar os critérios</t>
  </si>
  <si>
    <t>Ações e ETFs</t>
  </si>
  <si>
    <t xml:space="preserve">Atualizar a tabela de investives pelos novos critérios </t>
  </si>
  <si>
    <t xml:space="preserve">  </t>
  </si>
  <si>
    <t xml:space="preserve">Estabelecer a nova carteira Qualidade </t>
  </si>
  <si>
    <t>Estabelecer a nova carteira Renda</t>
  </si>
  <si>
    <t xml:space="preserve">Revisar e atualizar a lista de ETFs (US e Brasil) </t>
  </si>
  <si>
    <t>FII &amp; FiAgro</t>
  </si>
  <si>
    <t>Criar a tabela de Fundos de Papel</t>
  </si>
  <si>
    <t>Criar as carteiras de FII e FiAgro</t>
  </si>
  <si>
    <t>Atualizar as tabelas com fundos selecionados a partir dos novos critérios</t>
  </si>
  <si>
    <t xml:space="preserve">FiInfra e Cetip. </t>
  </si>
  <si>
    <t>Revisar as gestoras e os papéis selecionados a partir dos novos critérios</t>
  </si>
  <si>
    <t>Gestoras e fundos</t>
  </si>
  <si>
    <t>Adicionar principais informações sobre cada fundo</t>
  </si>
  <si>
    <t xml:space="preserve">Adicionar se o fundo tem opção previdenciária </t>
  </si>
  <si>
    <t>Adicionar contato dentro da gestora (RI,Gestor,ETC)</t>
  </si>
  <si>
    <t>Alocação</t>
  </si>
  <si>
    <t>Incluir nossa cateira base no consolidador de carteira para acompanharmos a performance mensalmente que deve ser apresentado no comitê de investimentos (Quantum)</t>
  </si>
  <si>
    <t>Definir critérios para saída de ativo da carteira (primeiro sai da carteira principal e depois excluído das investíveis)</t>
  </si>
  <si>
    <t>Criar calculadora 10% Dividendos</t>
  </si>
  <si>
    <t>Baseado nos cirtérios de saída e entrada, criar metodologia quantitativa de monitoramento - com o máximo de automatização possível</t>
  </si>
  <si>
    <t xml:space="preserve">Realizar estudo sobre rebalanceamento. Vale a pena rebalancear? Performance da carteira com X sem rebalanceamento? Quais seriam as bandas? Quais seriam os custos (IR)?  </t>
  </si>
  <si>
    <t>Montar carteira conservadora com internacional (conservador)</t>
  </si>
  <si>
    <t>Montar carteira para PJ com lista de produtos para PJ</t>
  </si>
  <si>
    <t>Comite de Resultados</t>
  </si>
  <si>
    <t>Até 5o dia últil - Primeira 6/04 - Organizador Gio, Participantes Fer e Bru</t>
  </si>
  <si>
    <t>Pensar em carteira de diversificacao (FII Tijolo &gt; Foco em Logística)</t>
  </si>
  <si>
    <t>Carrigir apresentação após feedbacks</t>
  </si>
  <si>
    <t>Criar calculadora 10% Dividendos - Gravar vídeo curto com 3 casos hipotéticos</t>
  </si>
  <si>
    <t>Adicionar CNPJ dos fundos</t>
  </si>
  <si>
    <t>Revisar opções previdenciárias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</si>
</sst>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R$-416]\ * #,##0_-;\-[$R$-416]\ * #,##0_-;_-[$R$-416]\ * &quot;-&quot;_-;_-@_-"/>
    <numFmt numFmtId="166" formatCode="_-[$R$-416]\ * #,##0.00_-;\-[$R$-416]\ * #,##0.00_-;_-[$R$-416]\ * &quot;-&quot;??_-;_-@_-"/>
    <numFmt numFmtId="167" formatCode="0.0"/>
    <numFmt numFmtId="168" formatCode="_([$$-409]* #,##0.00_);_([$$-409]* \(#,##0.00\);_([$$-409]* &quot;-&quot;??_);_(@_)"/>
  </numFmts>
  <fonts count="47">
    <font>
      <sz val="11"/>
      <color theme="1"/>
      <name val="Aptos Narrow"/>
      <family val="2"/>
      <scheme val="minor"/>
    </font>
    <font>
      <b/>
      <sz val="11"/>
      <color theme="1"/>
      <name val="Aptos Narrow"/>
      <family val="2"/>
      <scheme val="minor"/>
    </font>
    <font>
      <u/>
      <sz val="11"/>
      <color theme="10"/>
      <name val="Aptos Narrow"/>
      <family val="2"/>
      <scheme val="minor"/>
    </font>
    <font>
      <b/>
      <sz val="11"/>
      <color theme="0"/>
      <name val="Aptos Narrow"/>
      <family val="2"/>
      <scheme val="minor"/>
    </font>
    <font>
      <b/>
      <sz val="12"/>
      <color rgb="FF000000"/>
      <name val="Calibri"/>
    </font>
    <font>
      <b/>
      <sz val="12"/>
      <color rgb="FF000000"/>
      <name val="Aptos"/>
      <charset val="1"/>
    </font>
    <font>
      <sz val="12"/>
      <color rgb="FF000000"/>
      <name val="Aptos"/>
      <charset val="1"/>
    </font>
    <font>
      <sz val="11"/>
      <color rgb="FF161F27"/>
      <name val="Itau_Text_Proregular"/>
      <charset val="1"/>
    </font>
    <font>
      <sz val="12"/>
      <color rgb="FF000000"/>
      <name val="Aptos"/>
    </font>
    <font>
      <sz val="12"/>
      <color rgb="FF000000"/>
      <name val="Calibri"/>
    </font>
    <font>
      <sz val="12"/>
      <color theme="1"/>
      <name val="Aptos Narrow"/>
      <family val="2"/>
      <scheme val="minor"/>
    </font>
    <font>
      <b/>
      <sz val="12"/>
      <color theme="0"/>
      <name val="Aptos Narrow"/>
      <family val="2"/>
      <scheme val="minor"/>
    </font>
    <font>
      <b/>
      <sz val="12"/>
      <color rgb="FF000000"/>
      <name val="Aptos Narrow"/>
      <family val="2"/>
      <scheme val="minor"/>
    </font>
    <font>
      <b/>
      <sz val="12"/>
      <color theme="1"/>
      <name val="Aptos Narrow"/>
      <family val="2"/>
      <scheme val="minor"/>
    </font>
    <font>
      <sz val="12"/>
      <color rgb="FF000000"/>
      <name val="Aptos Narrow"/>
      <scheme val="minor"/>
    </font>
    <font>
      <b/>
      <u/>
      <sz val="12"/>
      <color rgb="FF000000"/>
      <name val="Aptos Narrow"/>
      <scheme val="minor"/>
    </font>
    <font>
      <b/>
      <u/>
      <sz val="12"/>
      <color rgb="FF000000"/>
      <name val="Calibri"/>
    </font>
    <font>
      <b/>
      <sz val="14"/>
      <color theme="0"/>
      <name val="Aptos Narrow"/>
      <family val="2"/>
      <scheme val="minor"/>
    </font>
    <font>
      <sz val="11"/>
      <color rgb="FF000000"/>
      <name val="Aptos Narrow"/>
      <family val="2"/>
      <scheme val="minor"/>
    </font>
    <font>
      <b/>
      <sz val="18"/>
      <color theme="0"/>
      <name val="Aptos Narrow"/>
      <family val="2"/>
      <scheme val="minor"/>
    </font>
    <font>
      <sz val="12"/>
      <color rgb="FF000000"/>
      <name val="Aptos Narrow"/>
      <family val="2"/>
      <scheme val="minor"/>
    </font>
    <font>
      <b/>
      <sz val="12"/>
      <color rgb="FFFFFFFF"/>
      <name val="Times New Roman"/>
    </font>
    <font>
      <b/>
      <sz val="12"/>
      <color rgb="FFFFFFFF"/>
      <name val="Calibri"/>
    </font>
    <font>
      <sz val="12"/>
      <color theme="1"/>
      <name val="Calibri"/>
    </font>
    <font>
      <b/>
      <sz val="11"/>
      <color rgb="FFFFFFFF"/>
      <name val="Calibri"/>
    </font>
    <font>
      <sz val="11"/>
      <name val="Calibri"/>
    </font>
    <font>
      <b/>
      <sz val="12"/>
      <color rgb="FF000000"/>
      <name val="Times New Roman"/>
    </font>
    <font>
      <b/>
      <sz val="11"/>
      <color rgb="FF333333"/>
      <name val="Times New Roman"/>
    </font>
    <font>
      <b/>
      <sz val="11"/>
      <color rgb="FF000000"/>
      <name val="Times New Roman"/>
    </font>
    <font>
      <b/>
      <sz val="11"/>
      <color theme="1"/>
      <name val="Times New Roman"/>
    </font>
    <font>
      <b/>
      <sz val="12"/>
      <color theme="1"/>
      <name val="Times New Roman"/>
    </font>
    <font>
      <b/>
      <sz val="12"/>
      <color theme="0"/>
      <name val="Times New Roman"/>
    </font>
    <font>
      <b/>
      <sz val="12"/>
      <color rgb="FF000000"/>
      <name val="Calibri"/>
      <scheme val="minor"/>
    </font>
    <font>
      <sz val="12"/>
      <color rgb="FF000000"/>
      <name val="Calibri"/>
      <scheme val="minor"/>
    </font>
    <font>
      <b/>
      <sz val="11"/>
      <color theme="1"/>
      <name val="Calibri"/>
    </font>
    <font>
      <sz val="11"/>
      <color rgb="FF000000"/>
      <name val="Calibri"/>
    </font>
    <font>
      <sz val="14"/>
      <color rgb="FF000000"/>
      <name val="Calibri"/>
    </font>
    <font>
      <sz val="14"/>
      <color theme="1"/>
      <name val="Calibri"/>
    </font>
    <font>
      <b/>
      <sz val="12"/>
      <color theme="0"/>
      <name val="Calibri"/>
      <family val="2"/>
      <scheme val="minor"/>
    </font>
    <font>
      <sz val="11"/>
      <color theme="0"/>
      <name val="Calibri"/>
      <family val="2"/>
      <scheme val="minor"/>
    </font>
    <font>
      <sz val="12"/>
      <color theme="1"/>
      <name val="Calibri"/>
      <family val="2"/>
      <scheme val="minor"/>
    </font>
    <font>
      <sz val="12"/>
      <color rgb="FF000000"/>
      <name val="Calibri"/>
      <family val="2"/>
    </font>
    <font>
      <b/>
      <sz val="11"/>
      <color theme="1"/>
      <name val="Calibri"/>
      <family val="2"/>
      <scheme val="minor"/>
    </font>
    <font>
      <sz val="11"/>
      <color rgb="FF000000"/>
      <name val="Calibri"/>
      <family val="2"/>
    </font>
    <font>
      <sz val="11"/>
      <color rgb="FF474747"/>
      <name val="Arial"/>
      <family val="2"/>
      <charset val="1"/>
    </font>
    <font>
      <sz val="12"/>
      <color rgb="FF161F27"/>
      <name val="Calibri"/>
    </font>
    <font>
      <b/>
      <sz val="11"/>
      <color theme="0"/>
      <name val="Calibri"/>
    </font>
  </fonts>
  <fills count="40">
    <fill>
      <patternFill patternType="none"/>
    </fill>
    <fill>
      <patternFill patternType="gray125"/>
    </fill>
    <fill>
      <patternFill patternType="solid">
        <fgColor theme="0" tint="-4.9989318521683403E-2"/>
        <bgColor indexed="64"/>
      </patternFill>
    </fill>
    <fill>
      <patternFill patternType="solid">
        <fgColor theme="4" tint="0.39997558519241921"/>
        <bgColor indexed="64"/>
      </patternFill>
    </fill>
    <fill>
      <patternFill patternType="solid">
        <fgColor theme="9"/>
        <bgColor indexed="64"/>
      </patternFill>
    </fill>
    <fill>
      <patternFill patternType="solid">
        <fgColor rgb="FFFF0000"/>
        <bgColor indexed="64"/>
      </patternFill>
    </fill>
    <fill>
      <patternFill patternType="solid">
        <fgColor rgb="FFFFC000"/>
        <bgColor indexed="64"/>
      </patternFill>
    </fill>
    <fill>
      <patternFill patternType="solid">
        <fgColor theme="5" tint="0.59999389629810485"/>
        <bgColor indexed="64"/>
      </patternFill>
    </fill>
    <fill>
      <patternFill patternType="solid">
        <fgColor rgb="FF002060"/>
        <bgColor indexed="64"/>
      </patternFill>
    </fill>
    <fill>
      <patternFill patternType="solid">
        <fgColor rgb="FF0070C0"/>
        <bgColor indexed="64"/>
      </patternFill>
    </fill>
    <fill>
      <patternFill patternType="solid">
        <fgColor theme="0"/>
        <bgColor indexed="64"/>
      </patternFill>
    </fill>
    <fill>
      <patternFill patternType="solid">
        <fgColor them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3" tint="9.9978637043366805E-2"/>
        <bgColor indexed="64"/>
      </patternFill>
    </fill>
    <fill>
      <patternFill patternType="solid">
        <fgColor rgb="FFF2F2F2"/>
        <bgColor indexed="64"/>
      </patternFill>
    </fill>
    <fill>
      <patternFill patternType="solid">
        <fgColor rgb="FFD9D9D9"/>
        <bgColor indexed="64"/>
      </patternFill>
    </fill>
    <fill>
      <patternFill patternType="solid">
        <fgColor rgb="FFBFBFBF"/>
        <bgColor indexed="64"/>
      </patternFill>
    </fill>
    <fill>
      <patternFill patternType="solid">
        <fgColor rgb="FFFFD966"/>
        <bgColor indexed="64"/>
      </patternFill>
    </fill>
    <fill>
      <patternFill patternType="solid">
        <fgColor rgb="FF9BC2E6"/>
        <bgColor indexed="64"/>
      </patternFill>
    </fill>
    <fill>
      <patternFill patternType="solid">
        <fgColor rgb="FFFFFFFF"/>
        <bgColor rgb="FF000000"/>
      </patternFill>
    </fill>
    <fill>
      <patternFill patternType="solid">
        <fgColor theme="9" tint="0.39997558519241921"/>
        <bgColor indexed="64"/>
      </patternFill>
    </fill>
    <fill>
      <patternFill patternType="solid">
        <fgColor rgb="FFFFFF00"/>
        <bgColor indexed="64"/>
      </patternFill>
    </fill>
    <fill>
      <patternFill patternType="solid">
        <fgColor rgb="FF073763"/>
        <bgColor rgb="FF073763"/>
      </patternFill>
    </fill>
    <fill>
      <patternFill patternType="solid">
        <fgColor rgb="FF274E13"/>
        <bgColor rgb="FF274E13"/>
      </patternFill>
    </fill>
    <fill>
      <patternFill patternType="solid">
        <fgColor rgb="FF7F6000"/>
        <bgColor rgb="FF7F6000"/>
      </patternFill>
    </fill>
    <fill>
      <patternFill patternType="solid">
        <fgColor rgb="FF434343"/>
        <bgColor rgb="FF434343"/>
      </patternFill>
    </fill>
    <fill>
      <patternFill patternType="solid">
        <fgColor rgb="FFFFFFFF"/>
        <bgColor rgb="FFFFFFFF"/>
      </patternFill>
    </fill>
    <fill>
      <patternFill patternType="solid">
        <fgColor rgb="FFC5E0B3"/>
        <bgColor rgb="FFC5E0B3"/>
      </patternFill>
    </fill>
    <fill>
      <patternFill patternType="solid">
        <fgColor rgb="FFA8D08D"/>
        <bgColor rgb="FFA8D08D"/>
      </patternFill>
    </fill>
    <fill>
      <patternFill patternType="solid">
        <fgColor theme="0"/>
        <bgColor theme="0"/>
      </patternFill>
    </fill>
    <fill>
      <patternFill patternType="solid">
        <fgColor rgb="FFFF0000"/>
        <bgColor rgb="FFFF0000"/>
      </patternFill>
    </fill>
    <fill>
      <patternFill patternType="solid">
        <fgColor rgb="FF999999"/>
        <bgColor rgb="FF999999"/>
      </patternFill>
    </fill>
    <fill>
      <patternFill patternType="solid">
        <fgColor rgb="FFB7B7B7"/>
        <bgColor rgb="FFB7B7B7"/>
      </patternFill>
    </fill>
    <fill>
      <patternFill patternType="solid">
        <fgColor rgb="FFEA9999"/>
        <bgColor rgb="FFEA9999"/>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4B084"/>
        <bgColor indexed="64"/>
      </patternFill>
    </fill>
    <fill>
      <patternFill patternType="solid">
        <fgColor rgb="FF92D050"/>
        <bgColor indexed="64"/>
      </patternFill>
    </fill>
  </fills>
  <borders count="7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medium">
        <color rgb="FF0070C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style="medium">
        <color rgb="FF000000"/>
      </right>
      <top style="medium">
        <color rgb="FF000000"/>
      </top>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rgb="FF000000"/>
      </left>
      <right style="medium">
        <color rgb="FF000000"/>
      </right>
      <top style="medium">
        <color indexed="64"/>
      </top>
      <bottom style="thin">
        <color indexed="64"/>
      </bottom>
      <diagonal/>
    </border>
    <border>
      <left style="medium">
        <color rgb="FF000000"/>
      </left>
      <right style="medium">
        <color rgb="FF000000"/>
      </right>
      <top style="medium">
        <color indexed="64"/>
      </top>
      <bottom/>
      <diagonal/>
    </border>
    <border>
      <left style="medium">
        <color rgb="FF000000"/>
      </left>
      <right/>
      <top style="medium">
        <color rgb="FF000000"/>
      </top>
      <bottom style="thin">
        <color indexed="64"/>
      </bottom>
      <diagonal/>
    </border>
    <border>
      <left style="medium">
        <color indexed="64"/>
      </left>
      <right/>
      <top style="medium">
        <color rgb="FF000000"/>
      </top>
      <bottom style="thin">
        <color indexed="64"/>
      </bottom>
      <diagonal/>
    </border>
    <border>
      <left style="medium">
        <color indexed="64"/>
      </left>
      <right style="medium">
        <color rgb="FF000000"/>
      </right>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style="thin">
        <color indexed="64"/>
      </bottom>
      <diagonal/>
    </border>
    <border>
      <left style="medium">
        <color rgb="FF000000"/>
      </left>
      <right style="medium">
        <color rgb="FF000000"/>
      </right>
      <top style="medium">
        <color indexed="64"/>
      </top>
      <bottom style="medium">
        <color rgb="FF000000"/>
      </bottom>
      <diagonal/>
    </border>
    <border>
      <left/>
      <right/>
      <top style="medium">
        <color rgb="FF000000"/>
      </top>
      <bottom style="thin">
        <color indexed="64"/>
      </bottom>
      <diagonal/>
    </border>
    <border>
      <left style="medium">
        <color rgb="FF000000"/>
      </left>
      <right/>
      <top style="medium">
        <color indexed="64"/>
      </top>
      <bottom style="thin">
        <color indexed="64"/>
      </bottom>
      <diagonal/>
    </border>
    <border>
      <left style="medium">
        <color indexed="64"/>
      </left>
      <right style="medium">
        <color rgb="FF000000"/>
      </right>
      <top style="medium">
        <color indexed="64"/>
      </top>
      <bottom style="thin">
        <color indexed="64"/>
      </bottom>
      <diagonal/>
    </border>
    <border>
      <left style="medium">
        <color rgb="FF000000"/>
      </left>
      <right/>
      <top/>
      <bottom style="thin">
        <color indexed="64"/>
      </bottom>
      <diagonal/>
    </border>
    <border>
      <left style="medium">
        <color rgb="FF000000"/>
      </left>
      <right/>
      <top style="medium">
        <color indexed="64"/>
      </top>
      <bottom style="medium">
        <color rgb="FF000000"/>
      </bottom>
      <diagonal/>
    </border>
    <border>
      <left style="medium">
        <color indexed="64"/>
      </left>
      <right style="medium">
        <color rgb="FF000000"/>
      </right>
      <top style="medium">
        <color indexed="64"/>
      </top>
      <bottom/>
      <diagonal/>
    </border>
    <border>
      <left style="medium">
        <color indexed="64"/>
      </left>
      <right/>
      <top style="medium">
        <color indexed="64"/>
      </top>
      <bottom style="medium">
        <color rgb="FF000000"/>
      </bottom>
      <diagonal/>
    </border>
    <border>
      <left/>
      <right style="medium">
        <color rgb="FF000000"/>
      </right>
      <top/>
      <bottom style="thin">
        <color indexed="64"/>
      </bottom>
      <diagonal/>
    </border>
    <border>
      <left style="medium">
        <color rgb="FF000000"/>
      </left>
      <right/>
      <top style="medium">
        <color indexed="64"/>
      </top>
      <bottom/>
      <diagonal/>
    </border>
    <border>
      <left style="medium">
        <color rgb="FF000000"/>
      </left>
      <right style="medium">
        <color rgb="FF000000"/>
      </right>
      <top style="medium">
        <color rgb="FF000000"/>
      </top>
      <bottom style="medium">
        <color indexed="64"/>
      </bottom>
      <diagonal/>
    </border>
    <border>
      <left/>
      <right style="medium">
        <color indexed="64"/>
      </right>
      <top style="medium">
        <color rgb="FF000000"/>
      </top>
      <bottom/>
      <diagonal/>
    </border>
    <border>
      <left style="medium">
        <color indexed="64"/>
      </left>
      <right style="medium">
        <color indexed="64"/>
      </right>
      <top style="medium">
        <color rgb="FF000000"/>
      </top>
      <bottom style="medium">
        <color indexed="64"/>
      </bottom>
      <diagonal/>
    </border>
    <border>
      <left style="medium">
        <color indexed="64"/>
      </left>
      <right style="medium">
        <color rgb="FF000000"/>
      </right>
      <top style="medium">
        <color rgb="FF000000"/>
      </top>
      <bottom/>
      <diagonal/>
    </border>
    <border>
      <left/>
      <right style="medium">
        <color indexed="64"/>
      </right>
      <top style="medium">
        <color rgb="FF000000"/>
      </top>
      <bottom style="medium">
        <color indexed="64"/>
      </bottom>
      <diagonal/>
    </border>
    <border>
      <left style="medium">
        <color indexed="64"/>
      </left>
      <right style="medium">
        <color indexed="64"/>
      </right>
      <top style="medium">
        <color rgb="FF000000"/>
      </top>
      <bottom/>
      <diagonal/>
    </border>
    <border>
      <left style="medium">
        <color rgb="FF000000"/>
      </left>
      <right style="medium">
        <color indexed="64"/>
      </right>
      <top style="medium">
        <color rgb="FF000000"/>
      </top>
      <bottom style="medium">
        <color indexed="64"/>
      </bottom>
      <diagonal/>
    </border>
    <border>
      <left/>
      <right/>
      <top style="medium">
        <color indexed="64"/>
      </top>
      <bottom style="thin">
        <color indexed="64"/>
      </bottom>
      <diagonal/>
    </border>
    <border>
      <left/>
      <right/>
      <top/>
      <bottom style="thin">
        <color indexed="64"/>
      </bottom>
      <diagonal/>
    </border>
    <border>
      <left style="medium">
        <color rgb="FF000000"/>
      </left>
      <right style="medium">
        <color indexed="64"/>
      </right>
      <top/>
      <bottom/>
      <diagonal/>
    </border>
    <border>
      <left/>
      <right/>
      <top style="medium">
        <color indexed="64"/>
      </top>
      <bottom style="medium">
        <color rgb="FF000000"/>
      </bottom>
      <diagonal/>
    </border>
    <border>
      <left style="medium">
        <color rgb="FF000000"/>
      </left>
      <right style="medium">
        <color indexed="64"/>
      </right>
      <top/>
      <bottom style="medium">
        <color rgb="FF000000"/>
      </bottom>
      <diagonal/>
    </border>
    <border>
      <left style="medium">
        <color indexed="64"/>
      </left>
      <right/>
      <top style="medium">
        <color rgb="FF000000"/>
      </top>
      <bottom/>
      <diagonal/>
    </border>
    <border>
      <left style="medium">
        <color rgb="FF000000"/>
      </left>
      <right/>
      <top style="medium">
        <color rgb="FF000000"/>
      </top>
      <bottom style="medium">
        <color indexed="64"/>
      </bottom>
      <diagonal/>
    </border>
    <border>
      <left/>
      <right style="medium">
        <color rgb="FF000000"/>
      </right>
      <top style="medium">
        <color indexed="64"/>
      </top>
      <bottom style="thin">
        <color indexed="64"/>
      </bottom>
      <diagonal/>
    </border>
    <border>
      <left/>
      <right style="medium">
        <color rgb="FF000000"/>
      </right>
      <top style="medium">
        <color indexed="64"/>
      </top>
      <bottom/>
      <diagonal/>
    </border>
    <border>
      <left/>
      <right style="medium">
        <color rgb="FF000000"/>
      </right>
      <top style="medium">
        <color indexed="64"/>
      </top>
      <bottom style="medium">
        <color rgb="FF000000"/>
      </bottom>
      <diagonal/>
    </border>
  </borders>
  <cellStyleXfs count="2">
    <xf numFmtId="0" fontId="0" fillId="0" borderId="0"/>
    <xf numFmtId="0" fontId="2" fillId="0" borderId="0" applyNumberFormat="0" applyFill="0" applyBorder="0" applyAlignment="0" applyProtection="0"/>
  </cellStyleXfs>
  <cellXfs count="482">
    <xf numFmtId="0" fontId="0" fillId="0" borderId="0" xfId="0"/>
    <xf numFmtId="0" fontId="0" fillId="0" borderId="0" xfId="0" applyAlignment="1">
      <alignment horizontal="center" vertical="center"/>
    </xf>
    <xf numFmtId="0" fontId="1" fillId="4" borderId="0" xfId="0" applyFont="1" applyFill="1" applyAlignment="1">
      <alignment horizontal="center"/>
    </xf>
    <xf numFmtId="0" fontId="1" fillId="5" borderId="0" xfId="0" applyFont="1" applyFill="1" applyAlignment="1">
      <alignment horizontal="center"/>
    </xf>
    <xf numFmtId="0" fontId="0" fillId="0" borderId="0" xfId="0" applyAlignment="1">
      <alignment horizontal="left" vertical="center"/>
    </xf>
    <xf numFmtId="0" fontId="0" fillId="0" borderId="0" xfId="0" applyAlignment="1">
      <alignment horizontal="left"/>
    </xf>
    <xf numFmtId="0" fontId="3" fillId="9" borderId="4" xfId="0" applyFont="1" applyFill="1" applyBorder="1" applyAlignment="1">
      <alignment horizontal="center" vertical="center"/>
    </xf>
    <xf numFmtId="0" fontId="3" fillId="9" borderId="3" xfId="0" applyFont="1" applyFill="1" applyBorder="1" applyAlignment="1">
      <alignment horizontal="center" vertical="center"/>
    </xf>
    <xf numFmtId="0" fontId="0" fillId="0" borderId="0" xfId="0" applyAlignment="1">
      <alignment horizontal="center"/>
    </xf>
    <xf numFmtId="0" fontId="3" fillId="9" borderId="5" xfId="0" applyFont="1" applyFill="1" applyBorder="1" applyAlignment="1">
      <alignment horizontal="center"/>
    </xf>
    <xf numFmtId="0" fontId="3" fillId="9" borderId="14" xfId="0" applyFont="1" applyFill="1" applyBorder="1" applyAlignment="1">
      <alignment horizontal="center"/>
    </xf>
    <xf numFmtId="0" fontId="1" fillId="0" borderId="0" xfId="0" applyFont="1"/>
    <xf numFmtId="0" fontId="1" fillId="0" borderId="0" xfId="0" applyFont="1" applyAlignment="1">
      <alignment horizontal="left"/>
    </xf>
    <xf numFmtId="0" fontId="5" fillId="0" borderId="0" xfId="0" applyFont="1" applyAlignment="1">
      <alignment wrapText="1"/>
    </xf>
    <xf numFmtId="0" fontId="6" fillId="0" borderId="0" xfId="0" applyFont="1" applyAlignment="1">
      <alignment wrapText="1"/>
    </xf>
    <xf numFmtId="0" fontId="7" fillId="0" borderId="0" xfId="0" applyFont="1" applyAlignment="1">
      <alignment horizontal="center"/>
    </xf>
    <xf numFmtId="0" fontId="8" fillId="0" borderId="0" xfId="0" applyFont="1" applyAlignment="1">
      <alignment wrapText="1"/>
    </xf>
    <xf numFmtId="0" fontId="9" fillId="0" borderId="0" xfId="0" applyFont="1" applyAlignment="1">
      <alignment horizontal="center"/>
    </xf>
    <xf numFmtId="0" fontId="6" fillId="0" borderId="0" xfId="0" applyFont="1"/>
    <xf numFmtId="0" fontId="10" fillId="10" borderId="0" xfId="0" applyFont="1" applyFill="1"/>
    <xf numFmtId="0" fontId="11" fillId="8" borderId="6" xfId="0" applyFont="1" applyFill="1" applyBorder="1" applyAlignment="1">
      <alignment horizontal="center" vertical="center"/>
    </xf>
    <xf numFmtId="0" fontId="10" fillId="0" borderId="0" xfId="0" applyFont="1"/>
    <xf numFmtId="9" fontId="9" fillId="0" borderId="0" xfId="0" applyNumberFormat="1" applyFont="1" applyAlignment="1">
      <alignment horizontal="center"/>
    </xf>
    <xf numFmtId="0" fontId="10" fillId="0" borderId="9" xfId="0" applyFont="1" applyBorder="1" applyAlignment="1">
      <alignment vertical="center" wrapText="1"/>
    </xf>
    <xf numFmtId="0" fontId="9" fillId="10" borderId="0" xfId="0" applyFont="1" applyFill="1" applyAlignment="1">
      <alignment horizontal="center"/>
    </xf>
    <xf numFmtId="9" fontId="9" fillId="10" borderId="0" xfId="0" applyNumberFormat="1" applyFont="1" applyFill="1" applyAlignment="1">
      <alignment horizontal="center"/>
    </xf>
    <xf numFmtId="9" fontId="10" fillId="0" borderId="0" xfId="0" applyNumberFormat="1" applyFont="1" applyAlignment="1">
      <alignment horizontal="center"/>
    </xf>
    <xf numFmtId="0" fontId="10" fillId="0" borderId="0" xfId="0" applyFont="1" applyAlignment="1">
      <alignment horizontal="center"/>
    </xf>
    <xf numFmtId="0" fontId="10" fillId="0" borderId="11" xfId="0" applyFont="1" applyBorder="1" applyAlignment="1">
      <alignment vertical="center"/>
    </xf>
    <xf numFmtId="0" fontId="9" fillId="0" borderId="18" xfId="0" applyFont="1" applyBorder="1" applyAlignment="1">
      <alignment vertical="center"/>
    </xf>
    <xf numFmtId="0" fontId="4" fillId="0" borderId="15" xfId="0" applyFont="1" applyBorder="1" applyAlignment="1">
      <alignment vertical="center"/>
    </xf>
    <xf numFmtId="0" fontId="4" fillId="0" borderId="7" xfId="0" applyFont="1" applyBorder="1" applyAlignment="1">
      <alignment vertical="center"/>
    </xf>
    <xf numFmtId="0" fontId="4" fillId="0" borderId="6" xfId="0" applyFont="1" applyBorder="1" applyAlignment="1">
      <alignment vertical="center"/>
    </xf>
    <xf numFmtId="0" fontId="9" fillId="0" borderId="8" xfId="0" applyFont="1" applyBorder="1" applyAlignment="1">
      <alignment horizontal="center" vertical="center" wrapText="1"/>
    </xf>
    <xf numFmtId="0" fontId="13" fillId="12" borderId="8" xfId="0" applyFont="1" applyFill="1" applyBorder="1" applyAlignment="1">
      <alignment horizontal="center" vertical="center" wrapText="1"/>
    </xf>
    <xf numFmtId="0" fontId="0" fillId="14" borderId="0" xfId="0" applyFill="1"/>
    <xf numFmtId="0" fontId="5" fillId="0" borderId="19" xfId="0" applyFont="1" applyBorder="1" applyAlignment="1">
      <alignment wrapText="1"/>
    </xf>
    <xf numFmtId="0" fontId="17" fillId="14" borderId="0" xfId="0" applyFont="1" applyFill="1"/>
    <xf numFmtId="0" fontId="13" fillId="10" borderId="15" xfId="0" applyFont="1" applyFill="1" applyBorder="1" applyAlignment="1">
      <alignment vertical="center" wrapText="1"/>
    </xf>
    <xf numFmtId="0" fontId="10" fillId="10" borderId="17" xfId="0" applyFont="1" applyFill="1" applyBorder="1" applyAlignment="1">
      <alignment vertical="center" wrapText="1"/>
    </xf>
    <xf numFmtId="0" fontId="10" fillId="10" borderId="12" xfId="0" applyFont="1" applyFill="1" applyBorder="1" applyAlignment="1">
      <alignment wrapText="1"/>
    </xf>
    <xf numFmtId="0" fontId="4" fillId="10" borderId="15" xfId="0" applyFont="1" applyFill="1" applyBorder="1" applyAlignment="1">
      <alignment vertical="center"/>
    </xf>
    <xf numFmtId="0" fontId="10" fillId="10" borderId="12" xfId="0" applyFont="1" applyFill="1" applyBorder="1" applyAlignment="1">
      <alignment vertical="center" wrapText="1"/>
    </xf>
    <xf numFmtId="0" fontId="0" fillId="10" borderId="0" xfId="0" applyFill="1"/>
    <xf numFmtId="0" fontId="11" fillId="8" borderId="10" xfId="0" applyFont="1" applyFill="1" applyBorder="1" applyAlignment="1">
      <alignment horizontal="center" vertical="center"/>
    </xf>
    <xf numFmtId="0" fontId="12" fillId="11" borderId="11" xfId="0" applyFont="1" applyFill="1" applyBorder="1" applyAlignment="1">
      <alignment horizontal="center" vertical="center"/>
    </xf>
    <xf numFmtId="0" fontId="9" fillId="0" borderId="0" xfId="0" applyFont="1" applyAlignment="1">
      <alignment vertical="center" wrapText="1"/>
    </xf>
    <xf numFmtId="0" fontId="4" fillId="0" borderId="6" xfId="0" applyFont="1" applyBorder="1" applyAlignment="1">
      <alignment vertical="center" wrapText="1"/>
    </xf>
    <xf numFmtId="0" fontId="9" fillId="0" borderId="18" xfId="0" applyFont="1" applyBorder="1" applyAlignment="1">
      <alignment vertical="center" wrapText="1"/>
    </xf>
    <xf numFmtId="0" fontId="3" fillId="9" borderId="20" xfId="0" applyFont="1" applyFill="1" applyBorder="1" applyAlignment="1">
      <alignment horizontal="center"/>
    </xf>
    <xf numFmtId="0" fontId="13" fillId="13" borderId="11" xfId="0" applyFont="1" applyFill="1" applyBorder="1" applyAlignment="1">
      <alignment horizontal="center" vertical="center"/>
    </xf>
    <xf numFmtId="0" fontId="13" fillId="10" borderId="22" xfId="0" applyFont="1" applyFill="1" applyBorder="1" applyAlignment="1">
      <alignment vertical="center" wrapText="1"/>
    </xf>
    <xf numFmtId="0" fontId="10" fillId="10" borderId="23" xfId="0" applyFont="1" applyFill="1" applyBorder="1" applyAlignment="1">
      <alignment vertical="center" wrapText="1"/>
    </xf>
    <xf numFmtId="0" fontId="10" fillId="0" borderId="11" xfId="0" applyFont="1" applyBorder="1" applyAlignment="1">
      <alignment vertical="center" wrapText="1"/>
    </xf>
    <xf numFmtId="0" fontId="9" fillId="10" borderId="11" xfId="0" applyFont="1" applyFill="1" applyBorder="1" applyAlignment="1">
      <alignment horizontal="center" vertical="center" wrapText="1"/>
    </xf>
    <xf numFmtId="9" fontId="0" fillId="0" borderId="0" xfId="0" applyNumberFormat="1"/>
    <xf numFmtId="164" fontId="0" fillId="0" borderId="0" xfId="0" applyNumberFormat="1"/>
    <xf numFmtId="0" fontId="0" fillId="9" borderId="21" xfId="0" applyFill="1" applyBorder="1"/>
    <xf numFmtId="9" fontId="0" fillId="10" borderId="0" xfId="0" applyNumberFormat="1" applyFill="1"/>
    <xf numFmtId="164" fontId="0" fillId="10" borderId="0" xfId="0" applyNumberFormat="1" applyFill="1"/>
    <xf numFmtId="9" fontId="18" fillId="10" borderId="0" xfId="0" applyNumberFormat="1" applyFont="1" applyFill="1"/>
    <xf numFmtId="0" fontId="0" fillId="14" borderId="0" xfId="0" applyFill="1" applyAlignment="1">
      <alignment horizontal="right" indent="1"/>
    </xf>
    <xf numFmtId="0" fontId="19" fillId="14" borderId="0" xfId="0" applyFont="1" applyFill="1" applyAlignment="1">
      <alignment horizontal="left" vertical="center"/>
    </xf>
    <xf numFmtId="0" fontId="5" fillId="0" borderId="0" xfId="0" applyFont="1" applyAlignment="1">
      <alignment horizontal="left" vertical="top" wrapText="1"/>
    </xf>
    <xf numFmtId="0" fontId="3" fillId="9" borderId="0" xfId="0" applyFont="1" applyFill="1" applyAlignment="1">
      <alignment horizontal="center" vertical="center"/>
    </xf>
    <xf numFmtId="0" fontId="0" fillId="2" borderId="0" xfId="0" applyFill="1" applyAlignment="1">
      <alignment horizontal="left" vertical="center"/>
    </xf>
    <xf numFmtId="0" fontId="1" fillId="6" borderId="0" xfId="0" applyFont="1" applyFill="1"/>
    <xf numFmtId="0" fontId="1" fillId="3" borderId="0" xfId="0" applyFont="1" applyFill="1" applyAlignment="1">
      <alignment horizontal="left" vertical="center"/>
    </xf>
    <xf numFmtId="0" fontId="0" fillId="0" borderId="0" xfId="0" applyAlignment="1">
      <alignment horizontal="left" wrapText="1"/>
    </xf>
    <xf numFmtId="0" fontId="0" fillId="21" borderId="11" xfId="0" applyFill="1" applyBorder="1"/>
    <xf numFmtId="0" fontId="0" fillId="0" borderId="11" xfId="0" applyBorder="1"/>
    <xf numFmtId="0" fontId="18" fillId="5" borderId="11" xfId="0" applyFont="1" applyFill="1" applyBorder="1"/>
    <xf numFmtId="0" fontId="18" fillId="22" borderId="8" xfId="0" applyFont="1" applyFill="1" applyBorder="1"/>
    <xf numFmtId="0" fontId="0" fillId="0" borderId="8" xfId="0" applyBorder="1"/>
    <xf numFmtId="0" fontId="3" fillId="14" borderId="8" xfId="0" applyFont="1" applyFill="1" applyBorder="1" applyAlignment="1">
      <alignment horizontal="center"/>
    </xf>
    <xf numFmtId="0" fontId="0" fillId="0" borderId="12" xfId="0" applyBorder="1"/>
    <xf numFmtId="0" fontId="0" fillId="0" borderId="11" xfId="0" applyBorder="1" applyAlignment="1">
      <alignment horizontal="left" wrapText="1"/>
    </xf>
    <xf numFmtId="0" fontId="0" fillId="0" borderId="11" xfId="0" applyBorder="1" applyAlignment="1">
      <alignment horizontal="left" vertical="center"/>
    </xf>
    <xf numFmtId="0" fontId="21" fillId="23" borderId="20" xfId="0" applyFont="1" applyFill="1" applyBorder="1" applyAlignment="1">
      <alignment horizontal="center"/>
    </xf>
    <xf numFmtId="9" fontId="22" fillId="23" borderId="20" xfId="0" applyNumberFormat="1" applyFont="1" applyFill="1" applyBorder="1" applyAlignment="1">
      <alignment horizontal="center"/>
    </xf>
    <xf numFmtId="9" fontId="22" fillId="23" borderId="26" xfId="0" applyNumberFormat="1" applyFont="1" applyFill="1" applyBorder="1" applyAlignment="1">
      <alignment horizontal="center"/>
    </xf>
    <xf numFmtId="0" fontId="23" fillId="0" borderId="0" xfId="0" applyFont="1"/>
    <xf numFmtId="0" fontId="22" fillId="24" borderId="27" xfId="0" applyFont="1" applyFill="1" applyBorder="1" applyAlignment="1">
      <alignment horizontal="center" vertical="center"/>
    </xf>
    <xf numFmtId="0" fontId="22" fillId="24" borderId="28" xfId="0" applyFont="1" applyFill="1" applyBorder="1"/>
    <xf numFmtId="0" fontId="22" fillId="0" borderId="0" xfId="0" applyFont="1"/>
    <xf numFmtId="0" fontId="21" fillId="23" borderId="30" xfId="0" applyFont="1" applyFill="1" applyBorder="1" applyAlignment="1">
      <alignment horizontal="center"/>
    </xf>
    <xf numFmtId="0" fontId="22" fillId="23" borderId="30" xfId="0" applyFont="1" applyFill="1" applyBorder="1" applyAlignment="1">
      <alignment horizontal="center"/>
    </xf>
    <xf numFmtId="0" fontId="22" fillId="23" borderId="31" xfId="0" applyFont="1" applyFill="1" applyBorder="1" applyAlignment="1">
      <alignment horizontal="center" vertical="center"/>
    </xf>
    <xf numFmtId="0" fontId="22" fillId="24" borderId="20" xfId="0" applyFont="1" applyFill="1" applyBorder="1" applyAlignment="1">
      <alignment horizontal="center" vertical="center"/>
    </xf>
    <xf numFmtId="2" fontId="22" fillId="24" borderId="26" xfId="0" applyNumberFormat="1" applyFont="1" applyFill="1" applyBorder="1" applyAlignment="1">
      <alignment horizontal="center"/>
    </xf>
    <xf numFmtId="2" fontId="22" fillId="0" borderId="0" xfId="0" applyNumberFormat="1" applyFont="1" applyAlignment="1">
      <alignment horizontal="center"/>
    </xf>
    <xf numFmtId="0" fontId="22" fillId="26" borderId="4" xfId="0" applyFont="1" applyFill="1" applyBorder="1" applyAlignment="1">
      <alignment horizontal="center" vertical="center"/>
    </xf>
    <xf numFmtId="0" fontId="26" fillId="0" borderId="34" xfId="0" applyFont="1" applyBorder="1"/>
    <xf numFmtId="2" fontId="27" fillId="27" borderId="35" xfId="0" applyNumberFormat="1" applyFont="1" applyFill="1" applyBorder="1" applyAlignment="1">
      <alignment horizontal="center" vertical="center" wrapText="1"/>
    </xf>
    <xf numFmtId="2" fontId="27" fillId="27" borderId="36" xfId="0" applyNumberFormat="1" applyFont="1" applyFill="1" applyBorder="1" applyAlignment="1">
      <alignment horizontal="center" vertical="center" wrapText="1"/>
    </xf>
    <xf numFmtId="2" fontId="27" fillId="27" borderId="37" xfId="0" applyNumberFormat="1" applyFont="1" applyFill="1" applyBorder="1" applyAlignment="1">
      <alignment horizontal="center" vertical="center" wrapText="1"/>
    </xf>
    <xf numFmtId="10" fontId="28" fillId="27" borderId="26" xfId="0" applyNumberFormat="1" applyFont="1" applyFill="1" applyBorder="1" applyAlignment="1">
      <alignment horizontal="center"/>
    </xf>
    <xf numFmtId="0" fontId="29" fillId="27" borderId="0" xfId="0" applyFont="1" applyFill="1"/>
    <xf numFmtId="2" fontId="29" fillId="27" borderId="20" xfId="0" applyNumberFormat="1" applyFont="1" applyFill="1" applyBorder="1" applyAlignment="1">
      <alignment horizontal="center"/>
    </xf>
    <xf numFmtId="10" fontId="29" fillId="27" borderId="20" xfId="0" applyNumberFormat="1" applyFont="1" applyFill="1" applyBorder="1" applyAlignment="1">
      <alignment horizontal="center"/>
    </xf>
    <xf numFmtId="10" fontId="29" fillId="27" borderId="0" xfId="0" applyNumberFormat="1" applyFont="1" applyFill="1" applyAlignment="1">
      <alignment horizontal="center"/>
    </xf>
    <xf numFmtId="0" fontId="28" fillId="0" borderId="29" xfId="0" applyFont="1" applyBorder="1" applyAlignment="1">
      <alignment horizontal="center"/>
    </xf>
    <xf numFmtId="0" fontId="28" fillId="0" borderId="10" xfId="0" applyFont="1" applyBorder="1" applyAlignment="1">
      <alignment horizontal="center"/>
    </xf>
    <xf numFmtId="0" fontId="28" fillId="0" borderId="26" xfId="0" applyFont="1" applyBorder="1" applyAlignment="1">
      <alignment horizontal="center"/>
    </xf>
    <xf numFmtId="0" fontId="30" fillId="28" borderId="29" xfId="0" applyFont="1" applyFill="1" applyBorder="1" applyAlignment="1">
      <alignment horizontal="center"/>
    </xf>
    <xf numFmtId="0" fontId="30" fillId="28" borderId="10" xfId="0" applyFont="1" applyFill="1" applyBorder="1" applyAlignment="1">
      <alignment horizontal="center"/>
    </xf>
    <xf numFmtId="0" fontId="30" fillId="29" borderId="10" xfId="0" applyFont="1" applyFill="1" applyBorder="1" applyAlignment="1">
      <alignment horizontal="center" vertical="center" textRotation="90" wrapText="1"/>
    </xf>
    <xf numFmtId="0" fontId="30" fillId="30" borderId="26" xfId="0" applyFont="1" applyFill="1" applyBorder="1" applyAlignment="1">
      <alignment horizontal="center" vertical="center" textRotation="90" wrapText="1"/>
    </xf>
    <xf numFmtId="2" fontId="27" fillId="27" borderId="38" xfId="0" applyNumberFormat="1" applyFont="1" applyFill="1" applyBorder="1" applyAlignment="1">
      <alignment horizontal="center" vertical="center" wrapText="1"/>
    </xf>
    <xf numFmtId="2" fontId="27" fillId="27" borderId="0" xfId="0" applyNumberFormat="1" applyFont="1" applyFill="1" applyAlignment="1">
      <alignment horizontal="center" vertical="center" wrapText="1"/>
    </xf>
    <xf numFmtId="2" fontId="27" fillId="27" borderId="39" xfId="0" applyNumberFormat="1" applyFont="1" applyFill="1" applyBorder="1" applyAlignment="1">
      <alignment horizontal="center" vertical="center" wrapText="1"/>
    </xf>
    <xf numFmtId="10" fontId="28" fillId="27" borderId="31" xfId="0" applyNumberFormat="1" applyFont="1" applyFill="1" applyBorder="1" applyAlignment="1">
      <alignment horizontal="center"/>
    </xf>
    <xf numFmtId="2" fontId="29" fillId="27" borderId="30" xfId="0" applyNumberFormat="1" applyFont="1" applyFill="1" applyBorder="1" applyAlignment="1">
      <alignment horizontal="center"/>
    </xf>
    <xf numFmtId="10" fontId="29" fillId="27" borderId="30" xfId="0" applyNumberFormat="1" applyFont="1" applyFill="1" applyBorder="1" applyAlignment="1">
      <alignment horizontal="center"/>
    </xf>
    <xf numFmtId="0" fontId="28" fillId="0" borderId="34" xfId="0" applyFont="1" applyBorder="1" applyAlignment="1">
      <alignment horizontal="center"/>
    </xf>
    <xf numFmtId="0" fontId="28" fillId="0" borderId="0" xfId="0" applyFont="1" applyAlignment="1">
      <alignment horizontal="center"/>
    </xf>
    <xf numFmtId="0" fontId="28" fillId="0" borderId="31" xfId="0" applyFont="1" applyBorder="1" applyAlignment="1">
      <alignment horizontal="center"/>
    </xf>
    <xf numFmtId="0" fontId="30" fillId="28" borderId="34" xfId="0" applyFont="1" applyFill="1" applyBorder="1" applyAlignment="1">
      <alignment horizontal="center"/>
    </xf>
    <xf numFmtId="0" fontId="30" fillId="28" borderId="0" xfId="0" applyFont="1" applyFill="1" applyAlignment="1">
      <alignment horizontal="center"/>
    </xf>
    <xf numFmtId="0" fontId="30" fillId="0" borderId="31" xfId="0" applyFont="1" applyBorder="1"/>
    <xf numFmtId="0" fontId="31" fillId="31" borderId="34" xfId="0" applyFont="1" applyFill="1" applyBorder="1" applyAlignment="1">
      <alignment horizontal="center"/>
    </xf>
    <xf numFmtId="0" fontId="31" fillId="31" borderId="0" xfId="0" applyFont="1" applyFill="1" applyAlignment="1">
      <alignment horizontal="center"/>
    </xf>
    <xf numFmtId="0" fontId="30" fillId="0" borderId="34" xfId="0" applyFont="1" applyBorder="1"/>
    <xf numFmtId="0" fontId="30" fillId="0" borderId="0" xfId="0" applyFont="1"/>
    <xf numFmtId="0" fontId="31" fillId="31" borderId="32" xfId="0" applyFont="1" applyFill="1" applyBorder="1" applyAlignment="1">
      <alignment horizontal="center"/>
    </xf>
    <xf numFmtId="0" fontId="31" fillId="31" borderId="40" xfId="0" applyFont="1" applyFill="1" applyBorder="1" applyAlignment="1">
      <alignment horizontal="center"/>
    </xf>
    <xf numFmtId="0" fontId="30" fillId="30" borderId="0" xfId="0" applyFont="1" applyFill="1" applyAlignment="1">
      <alignment horizontal="center"/>
    </xf>
    <xf numFmtId="0" fontId="30" fillId="32" borderId="4" xfId="0" applyFont="1" applyFill="1" applyBorder="1" applyAlignment="1">
      <alignment horizontal="left"/>
    </xf>
    <xf numFmtId="0" fontId="26" fillId="34" borderId="34" xfId="0" applyFont="1" applyFill="1" applyBorder="1"/>
    <xf numFmtId="0" fontId="28" fillId="30" borderId="34" xfId="0" applyFont="1" applyFill="1" applyBorder="1" applyAlignment="1">
      <alignment horizontal="center"/>
    </xf>
    <xf numFmtId="0" fontId="28" fillId="30" borderId="0" xfId="0" applyFont="1" applyFill="1" applyAlignment="1">
      <alignment horizontal="center"/>
    </xf>
    <xf numFmtId="0" fontId="28" fillId="30" borderId="31" xfId="0" applyFont="1" applyFill="1" applyBorder="1" applyAlignment="1">
      <alignment horizontal="center"/>
    </xf>
    <xf numFmtId="10" fontId="29" fillId="27" borderId="31" xfId="0" applyNumberFormat="1" applyFont="1" applyFill="1" applyBorder="1" applyAlignment="1">
      <alignment horizontal="center"/>
    </xf>
    <xf numFmtId="0" fontId="26" fillId="34" borderId="32" xfId="0" applyFont="1" applyFill="1" applyBorder="1"/>
    <xf numFmtId="2" fontId="27" fillId="27" borderId="41" xfId="0" applyNumberFormat="1" applyFont="1" applyFill="1" applyBorder="1" applyAlignment="1">
      <alignment horizontal="center" vertical="center" wrapText="1"/>
    </xf>
    <xf numFmtId="2" fontId="27" fillId="27" borderId="42" xfId="0" applyNumberFormat="1" applyFont="1" applyFill="1" applyBorder="1" applyAlignment="1">
      <alignment horizontal="center" vertical="center" wrapText="1"/>
    </xf>
    <xf numFmtId="2" fontId="27" fillId="27" borderId="43" xfId="0" applyNumberFormat="1" applyFont="1" applyFill="1" applyBorder="1" applyAlignment="1">
      <alignment horizontal="center" vertical="center" wrapText="1"/>
    </xf>
    <xf numFmtId="10" fontId="28" fillId="27" borderId="33" xfId="0" applyNumberFormat="1" applyFont="1" applyFill="1" applyBorder="1" applyAlignment="1">
      <alignment horizontal="center"/>
    </xf>
    <xf numFmtId="2" fontId="29" fillId="27" borderId="21" xfId="0" applyNumberFormat="1" applyFont="1" applyFill="1" applyBorder="1" applyAlignment="1">
      <alignment horizontal="center"/>
    </xf>
    <xf numFmtId="10" fontId="29" fillId="27" borderId="33" xfId="0" applyNumberFormat="1" applyFont="1" applyFill="1" applyBorder="1" applyAlignment="1">
      <alignment horizontal="center"/>
    </xf>
    <xf numFmtId="0" fontId="28" fillId="30" borderId="32" xfId="0" applyFont="1" applyFill="1" applyBorder="1" applyAlignment="1">
      <alignment horizontal="center"/>
    </xf>
    <xf numFmtId="0" fontId="28" fillId="30" borderId="40" xfId="0" applyFont="1" applyFill="1" applyBorder="1" applyAlignment="1">
      <alignment horizontal="center"/>
    </xf>
    <xf numFmtId="0" fontId="28" fillId="30" borderId="33" xfId="0" applyFont="1" applyFill="1" applyBorder="1" applyAlignment="1">
      <alignment horizontal="center"/>
    </xf>
    <xf numFmtId="0" fontId="9" fillId="0" borderId="8" xfId="0" applyFont="1" applyBorder="1" applyAlignment="1">
      <alignment vertical="center" wrapText="1"/>
    </xf>
    <xf numFmtId="0" fontId="9" fillId="0" borderId="11" xfId="0" applyFont="1" applyBorder="1" applyAlignment="1">
      <alignment vertical="center" wrapText="1"/>
    </xf>
    <xf numFmtId="0" fontId="3" fillId="9" borderId="20" xfId="0" applyFont="1" applyFill="1" applyBorder="1" applyAlignment="1">
      <alignment horizontal="center" vertical="top"/>
    </xf>
    <xf numFmtId="9" fontId="0" fillId="15" borderId="4" xfId="0" applyNumberFormat="1" applyFill="1" applyBorder="1" applyAlignment="1">
      <alignment horizontal="center" vertical="center"/>
    </xf>
    <xf numFmtId="9" fontId="0" fillId="15" borderId="36" xfId="0" applyNumberFormat="1" applyFill="1" applyBorder="1" applyAlignment="1">
      <alignment horizontal="center" vertical="center"/>
    </xf>
    <xf numFmtId="9" fontId="0" fillId="15" borderId="20" xfId="0" applyNumberFormat="1" applyFill="1" applyBorder="1" applyAlignment="1">
      <alignment horizontal="center" vertical="center"/>
    </xf>
    <xf numFmtId="9" fontId="0" fillId="15" borderId="44" xfId="0" applyNumberFormat="1" applyFill="1" applyBorder="1" applyAlignment="1">
      <alignment horizontal="center" vertical="center"/>
    </xf>
    <xf numFmtId="9" fontId="0" fillId="15" borderId="25" xfId="0" applyNumberFormat="1" applyFill="1" applyBorder="1" applyAlignment="1">
      <alignment horizontal="center" vertical="center"/>
    </xf>
    <xf numFmtId="9" fontId="0" fillId="15" borderId="45" xfId="0" applyNumberFormat="1" applyFill="1" applyBorder="1" applyAlignment="1">
      <alignment horizontal="center" vertical="center"/>
    </xf>
    <xf numFmtId="9" fontId="0" fillId="15" borderId="46" xfId="0" applyNumberFormat="1" applyFill="1" applyBorder="1" applyAlignment="1">
      <alignment horizontal="center" vertical="center"/>
    </xf>
    <xf numFmtId="9" fontId="0" fillId="15" borderId="35" xfId="0" applyNumberFormat="1" applyFill="1" applyBorder="1" applyAlignment="1">
      <alignment horizontal="center" vertical="center"/>
    </xf>
    <xf numFmtId="9" fontId="0" fillId="16" borderId="44" xfId="0" applyNumberFormat="1" applyFill="1" applyBorder="1" applyAlignment="1">
      <alignment horizontal="center" vertical="center"/>
    </xf>
    <xf numFmtId="9" fontId="0" fillId="16" borderId="4" xfId="0" applyNumberFormat="1" applyFill="1" applyBorder="1" applyAlignment="1">
      <alignment horizontal="center" vertical="center"/>
    </xf>
    <xf numFmtId="9" fontId="0" fillId="16" borderId="14" xfId="0" applyNumberFormat="1" applyFill="1" applyBorder="1" applyAlignment="1">
      <alignment horizontal="center" vertical="center"/>
    </xf>
    <xf numFmtId="164" fontId="0" fillId="17" borderId="47" xfId="0" applyNumberFormat="1" applyFill="1" applyBorder="1" applyAlignment="1">
      <alignment horizontal="center" vertical="center"/>
    </xf>
    <xf numFmtId="164" fontId="0" fillId="17" borderId="48" xfId="0" applyNumberFormat="1" applyFill="1" applyBorder="1" applyAlignment="1">
      <alignment horizontal="center" vertical="center"/>
    </xf>
    <xf numFmtId="164" fontId="0" fillId="17" borderId="49" xfId="0" applyNumberFormat="1" applyFill="1" applyBorder="1" applyAlignment="1">
      <alignment horizontal="center" vertical="center"/>
    </xf>
    <xf numFmtId="9" fontId="0" fillId="18" borderId="25" xfId="0" applyNumberFormat="1" applyFill="1" applyBorder="1" applyAlignment="1">
      <alignment horizontal="center" vertical="center"/>
    </xf>
    <xf numFmtId="9" fontId="0" fillId="18" borderId="44" xfId="0" applyNumberFormat="1" applyFill="1" applyBorder="1" applyAlignment="1">
      <alignment horizontal="center" vertical="center"/>
    </xf>
    <xf numFmtId="9" fontId="0" fillId="18" borderId="50" xfId="0" applyNumberFormat="1" applyFill="1" applyBorder="1" applyAlignment="1">
      <alignment horizontal="center" vertical="center"/>
    </xf>
    <xf numFmtId="9" fontId="0" fillId="19" borderId="25" xfId="0" applyNumberFormat="1" applyFill="1" applyBorder="1" applyAlignment="1">
      <alignment horizontal="center" vertical="center"/>
    </xf>
    <xf numFmtId="9" fontId="0" fillId="19" borderId="45" xfId="0" applyNumberFormat="1" applyFill="1" applyBorder="1" applyAlignment="1">
      <alignment horizontal="center" vertical="center"/>
    </xf>
    <xf numFmtId="9" fontId="0" fillId="15" borderId="50" xfId="0" applyNumberFormat="1" applyFill="1" applyBorder="1" applyAlignment="1">
      <alignment horizontal="center" vertical="center"/>
    </xf>
    <xf numFmtId="9" fontId="0" fillId="16" borderId="25" xfId="0" applyNumberFormat="1" applyFill="1" applyBorder="1" applyAlignment="1">
      <alignment horizontal="center" vertical="center"/>
    </xf>
    <xf numFmtId="9" fontId="0" fillId="16" borderId="50" xfId="0" applyNumberFormat="1" applyFill="1" applyBorder="1" applyAlignment="1">
      <alignment horizontal="center" vertical="center"/>
    </xf>
    <xf numFmtId="9" fontId="0" fillId="16" borderId="51" xfId="0" applyNumberFormat="1" applyFill="1" applyBorder="1" applyAlignment="1">
      <alignment horizontal="center" vertical="center"/>
    </xf>
    <xf numFmtId="9" fontId="0" fillId="16" borderId="45" xfId="0" applyNumberFormat="1" applyFill="1" applyBorder="1" applyAlignment="1">
      <alignment horizontal="center" vertical="center"/>
    </xf>
    <xf numFmtId="9" fontId="0" fillId="16" borderId="52" xfId="0" applyNumberFormat="1" applyFill="1" applyBorder="1" applyAlignment="1">
      <alignment horizontal="center" vertical="center"/>
    </xf>
    <xf numFmtId="9" fontId="0" fillId="16" borderId="35" xfId="0" applyNumberFormat="1" applyFill="1" applyBorder="1" applyAlignment="1">
      <alignment horizontal="center" vertical="center"/>
    </xf>
    <xf numFmtId="164" fontId="0" fillId="17" borderId="4" xfId="0" applyNumberFormat="1" applyFill="1" applyBorder="1" applyAlignment="1">
      <alignment horizontal="center" vertical="center"/>
    </xf>
    <xf numFmtId="164" fontId="0" fillId="17" borderId="14" xfId="0" applyNumberFormat="1" applyFill="1" applyBorder="1" applyAlignment="1">
      <alignment horizontal="center" vertical="center"/>
    </xf>
    <xf numFmtId="164" fontId="0" fillId="17" borderId="53" xfId="0" applyNumberFormat="1" applyFill="1" applyBorder="1" applyAlignment="1">
      <alignment horizontal="center" vertical="center"/>
    </xf>
    <xf numFmtId="164" fontId="0" fillId="17" borderId="54" xfId="0" applyNumberFormat="1" applyFill="1" applyBorder="1" applyAlignment="1">
      <alignment horizontal="center" vertical="center"/>
    </xf>
    <xf numFmtId="164" fontId="0" fillId="17" borderId="25" xfId="0" applyNumberFormat="1" applyFill="1" applyBorder="1" applyAlignment="1">
      <alignment horizontal="center" vertical="center"/>
    </xf>
    <xf numFmtId="164" fontId="0" fillId="17" borderId="55" xfId="0" applyNumberFormat="1" applyFill="1" applyBorder="1" applyAlignment="1">
      <alignment horizontal="center" vertical="center"/>
    </xf>
    <xf numFmtId="164" fontId="0" fillId="17" borderId="56" xfId="0" applyNumberFormat="1" applyFill="1" applyBorder="1" applyAlignment="1">
      <alignment horizontal="center" vertical="center"/>
    </xf>
    <xf numFmtId="164" fontId="0" fillId="17" borderId="44" xfId="0" applyNumberFormat="1" applyFill="1" applyBorder="1" applyAlignment="1">
      <alignment horizontal="center" vertical="center"/>
    </xf>
    <xf numFmtId="164" fontId="0" fillId="17" borderId="57" xfId="0" applyNumberFormat="1" applyFill="1" applyBorder="1" applyAlignment="1">
      <alignment horizontal="center" vertical="center"/>
    </xf>
    <xf numFmtId="164" fontId="0" fillId="17" borderId="35" xfId="0" applyNumberFormat="1" applyFill="1" applyBorder="1" applyAlignment="1">
      <alignment horizontal="center" vertical="center"/>
    </xf>
    <xf numFmtId="164" fontId="0" fillId="17" borderId="58" xfId="0" applyNumberFormat="1" applyFill="1" applyBorder="1" applyAlignment="1">
      <alignment horizontal="center" vertical="center"/>
    </xf>
    <xf numFmtId="164" fontId="0" fillId="17" borderId="59" xfId="0" applyNumberFormat="1" applyFill="1" applyBorder="1" applyAlignment="1">
      <alignment horizontal="center" vertical="center"/>
    </xf>
    <xf numFmtId="9" fontId="0" fillId="18" borderId="45" xfId="0" applyNumberFormat="1" applyFill="1" applyBorder="1" applyAlignment="1">
      <alignment horizontal="center" vertical="center"/>
    </xf>
    <xf numFmtId="9" fontId="0" fillId="19" borderId="35" xfId="0" applyNumberFormat="1" applyFill="1" applyBorder="1" applyAlignment="1">
      <alignment horizontal="center" vertical="center"/>
    </xf>
    <xf numFmtId="9" fontId="0" fillId="15" borderId="13" xfId="0" applyNumberFormat="1" applyFill="1" applyBorder="1" applyAlignment="1">
      <alignment horizontal="center" vertical="center"/>
    </xf>
    <xf numFmtId="9" fontId="0" fillId="15" borderId="26" xfId="0" applyNumberFormat="1" applyFill="1" applyBorder="1" applyAlignment="1">
      <alignment horizontal="center" vertical="center"/>
    </xf>
    <xf numFmtId="9" fontId="0" fillId="16" borderId="13" xfId="0" applyNumberFormat="1" applyFill="1" applyBorder="1" applyAlignment="1">
      <alignment horizontal="center" vertical="center"/>
    </xf>
    <xf numFmtId="164" fontId="0" fillId="17" borderId="60" xfId="0" applyNumberFormat="1" applyFill="1" applyBorder="1" applyAlignment="1">
      <alignment horizontal="center" vertical="center"/>
    </xf>
    <xf numFmtId="164" fontId="0" fillId="17" borderId="61" xfId="0" applyNumberFormat="1" applyFill="1" applyBorder="1" applyAlignment="1">
      <alignment horizontal="center" vertical="center"/>
    </xf>
    <xf numFmtId="0" fontId="20" fillId="0" borderId="18" xfId="0" applyFont="1" applyBorder="1" applyAlignment="1">
      <alignment horizontal="left" vertical="center" wrapText="1"/>
    </xf>
    <xf numFmtId="0" fontId="10" fillId="0" borderId="6" xfId="0" applyFont="1" applyBorder="1" applyAlignment="1">
      <alignment vertical="center" wrapText="1"/>
    </xf>
    <xf numFmtId="0" fontId="20" fillId="0" borderId="16" xfId="0" applyFont="1" applyBorder="1" applyAlignment="1">
      <alignment horizontal="left" vertical="center" wrapText="1"/>
    </xf>
    <xf numFmtId="0" fontId="20" fillId="10" borderId="17" xfId="0" applyFont="1" applyFill="1" applyBorder="1" applyAlignment="1">
      <alignment vertical="center" wrapText="1"/>
    </xf>
    <xf numFmtId="0" fontId="9" fillId="10" borderId="11" xfId="0" applyFont="1" applyFill="1" applyBorder="1" applyAlignment="1">
      <alignment vertical="center" wrapText="1"/>
    </xf>
    <xf numFmtId="0" fontId="3" fillId="9" borderId="29" xfId="0" applyFont="1" applyFill="1" applyBorder="1" applyAlignment="1">
      <alignment horizontal="center" vertical="top"/>
    </xf>
    <xf numFmtId="0" fontId="3" fillId="9" borderId="26" xfId="0" applyFont="1" applyFill="1" applyBorder="1" applyAlignment="1">
      <alignment horizontal="center" vertical="top"/>
    </xf>
    <xf numFmtId="0" fontId="0" fillId="9" borderId="30" xfId="0" applyFill="1" applyBorder="1"/>
    <xf numFmtId="0" fontId="3" fillId="9" borderId="34" xfId="0" applyFont="1" applyFill="1" applyBorder="1" applyAlignment="1">
      <alignment horizontal="center" vertical="top"/>
    </xf>
    <xf numFmtId="0" fontId="3" fillId="9" borderId="31" xfId="0" applyFont="1" applyFill="1" applyBorder="1" applyAlignment="1">
      <alignment horizontal="center" vertical="top"/>
    </xf>
    <xf numFmtId="0" fontId="36" fillId="20" borderId="0" xfId="0" applyFont="1" applyFill="1" applyAlignment="1">
      <alignment readingOrder="1"/>
    </xf>
    <xf numFmtId="0" fontId="0" fillId="0" borderId="20" xfId="0" applyBorder="1"/>
    <xf numFmtId="0" fontId="0" fillId="0" borderId="29" xfId="0" applyBorder="1"/>
    <xf numFmtId="0" fontId="0" fillId="0" borderId="26" xfId="0" applyBorder="1"/>
    <xf numFmtId="0" fontId="36" fillId="10" borderId="0" xfId="0" applyFont="1" applyFill="1" applyAlignment="1">
      <alignment readingOrder="1"/>
    </xf>
    <xf numFmtId="0" fontId="0" fillId="0" borderId="30" xfId="0" applyBorder="1"/>
    <xf numFmtId="0" fontId="0" fillId="0" borderId="34" xfId="0" applyBorder="1"/>
    <xf numFmtId="0" fontId="0" fillId="0" borderId="31" xfId="0" applyBorder="1"/>
    <xf numFmtId="0" fontId="37" fillId="0" borderId="0" xfId="0" applyFont="1"/>
    <xf numFmtId="0" fontId="0" fillId="0" borderId="21" xfId="0" applyBorder="1"/>
    <xf numFmtId="164" fontId="0" fillId="10" borderId="0" xfId="0" applyNumberFormat="1" applyFill="1" applyAlignment="1">
      <alignment horizontal="right"/>
    </xf>
    <xf numFmtId="164" fontId="0" fillId="0" borderId="0" xfId="0" applyNumberFormat="1" applyAlignment="1">
      <alignment horizontal="right"/>
    </xf>
    <xf numFmtId="0" fontId="0" fillId="0" borderId="0" xfId="0" applyAlignment="1">
      <alignment horizontal="right"/>
    </xf>
    <xf numFmtId="9" fontId="0" fillId="10" borderId="0" xfId="0" applyNumberFormat="1" applyFill="1" applyAlignment="1">
      <alignment horizontal="right"/>
    </xf>
    <xf numFmtId="0" fontId="0" fillId="0" borderId="32" xfId="0" applyBorder="1"/>
    <xf numFmtId="0" fontId="0" fillId="0" borderId="33" xfId="0" applyBorder="1"/>
    <xf numFmtId="0" fontId="3" fillId="9" borderId="30" xfId="0" applyFont="1" applyFill="1" applyBorder="1" applyAlignment="1">
      <alignment horizontal="center" vertical="top"/>
    </xf>
    <xf numFmtId="0" fontId="35" fillId="20" borderId="30" xfId="0" applyFont="1" applyFill="1" applyBorder="1" applyAlignment="1">
      <alignment horizontal="left" readingOrder="1"/>
    </xf>
    <xf numFmtId="0" fontId="35" fillId="20" borderId="21" xfId="0" applyFont="1" applyFill="1" applyBorder="1" applyAlignment="1">
      <alignment horizontal="left" readingOrder="1"/>
    </xf>
    <xf numFmtId="0" fontId="35" fillId="20" borderId="34" xfId="0" applyFont="1" applyFill="1" applyBorder="1" applyAlignment="1">
      <alignment readingOrder="1"/>
    </xf>
    <xf numFmtId="0" fontId="35" fillId="20" borderId="34" xfId="0" applyFont="1" applyFill="1" applyBorder="1" applyAlignment="1">
      <alignment horizontal="left" readingOrder="1"/>
    </xf>
    <xf numFmtId="165" fontId="0" fillId="10" borderId="0" xfId="0" applyNumberFormat="1" applyFill="1"/>
    <xf numFmtId="0" fontId="2" fillId="0" borderId="0" xfId="1"/>
    <xf numFmtId="164" fontId="0" fillId="18" borderId="25" xfId="0" applyNumberFormat="1" applyFill="1" applyBorder="1" applyAlignment="1">
      <alignment horizontal="center" vertical="center"/>
    </xf>
    <xf numFmtId="164" fontId="0" fillId="19" borderId="35" xfId="0" applyNumberFormat="1" applyFill="1" applyBorder="1" applyAlignment="1">
      <alignment horizontal="center" vertical="center"/>
    </xf>
    <xf numFmtId="0" fontId="3" fillId="9" borderId="4" xfId="0" applyFont="1" applyFill="1" applyBorder="1" applyAlignment="1">
      <alignment horizontal="center"/>
    </xf>
    <xf numFmtId="0" fontId="11" fillId="9" borderId="29" xfId="0" applyFont="1" applyFill="1" applyBorder="1" applyAlignment="1">
      <alignment horizontal="left"/>
    </xf>
    <xf numFmtId="0" fontId="0" fillId="9" borderId="29" xfId="0" applyFill="1" applyBorder="1"/>
    <xf numFmtId="0" fontId="40" fillId="0" borderId="4" xfId="0" applyFont="1" applyBorder="1"/>
    <xf numFmtId="0" fontId="0" fillId="0" borderId="5" xfId="0" applyBorder="1" applyAlignment="1">
      <alignment horizontal="center"/>
    </xf>
    <xf numFmtId="0" fontId="0" fillId="0" borderId="14" xfId="0" applyBorder="1" applyAlignment="1">
      <alignment horizontal="center"/>
    </xf>
    <xf numFmtId="0" fontId="38" fillId="9" borderId="32" xfId="0" applyFont="1" applyFill="1" applyBorder="1" applyAlignment="1">
      <alignment horizontal="center"/>
    </xf>
    <xf numFmtId="0" fontId="39" fillId="9" borderId="34" xfId="0" applyFont="1" applyFill="1" applyBorder="1" applyAlignment="1">
      <alignment horizontal="center"/>
    </xf>
    <xf numFmtId="0" fontId="39" fillId="9" borderId="0" xfId="0" applyFont="1" applyFill="1" applyAlignment="1">
      <alignment horizontal="center"/>
    </xf>
    <xf numFmtId="0" fontId="39" fillId="9" borderId="31" xfId="0" applyFont="1" applyFill="1" applyBorder="1" applyAlignment="1">
      <alignment horizontal="center"/>
    </xf>
    <xf numFmtId="0" fontId="39" fillId="9" borderId="40" xfId="0" applyFont="1" applyFill="1" applyBorder="1" applyAlignment="1">
      <alignment horizontal="center"/>
    </xf>
    <xf numFmtId="0" fontId="39" fillId="9" borderId="33" xfId="0" applyFont="1" applyFill="1" applyBorder="1" applyAlignment="1">
      <alignment horizontal="center"/>
    </xf>
    <xf numFmtId="0" fontId="40" fillId="0" borderId="30" xfId="0" applyFont="1" applyBorder="1"/>
    <xf numFmtId="166" fontId="0" fillId="0" borderId="0" xfId="0" applyNumberFormat="1"/>
    <xf numFmtId="0" fontId="41" fillId="20" borderId="34" xfId="0" applyFont="1" applyFill="1" applyBorder="1" applyAlignment="1">
      <alignment readingOrder="1"/>
    </xf>
    <xf numFmtId="166" fontId="0" fillId="0" borderId="29" xfId="0" applyNumberFormat="1" applyBorder="1" applyAlignment="1">
      <alignment horizontal="right"/>
    </xf>
    <xf numFmtId="166" fontId="0" fillId="0" borderId="10" xfId="0" applyNumberFormat="1" applyBorder="1" applyAlignment="1">
      <alignment horizontal="right"/>
    </xf>
    <xf numFmtId="167" fontId="0" fillId="0" borderId="29" xfId="0" applyNumberFormat="1" applyBorder="1" applyAlignment="1">
      <alignment horizontal="right"/>
    </xf>
    <xf numFmtId="167" fontId="0" fillId="0" borderId="10" xfId="0" applyNumberFormat="1" applyBorder="1" applyAlignment="1">
      <alignment horizontal="right"/>
    </xf>
    <xf numFmtId="167" fontId="0" fillId="0" borderId="26" xfId="0" applyNumberFormat="1" applyBorder="1" applyAlignment="1">
      <alignment horizontal="right"/>
    </xf>
    <xf numFmtId="167" fontId="0" fillId="0" borderId="0" xfId="0" applyNumberFormat="1" applyAlignment="1">
      <alignment horizontal="right"/>
    </xf>
    <xf numFmtId="167" fontId="0" fillId="0" borderId="31" xfId="0" applyNumberFormat="1" applyBorder="1" applyAlignment="1">
      <alignment horizontal="right"/>
    </xf>
    <xf numFmtId="166" fontId="0" fillId="0" borderId="34" xfId="0" applyNumberFormat="1" applyBorder="1" applyAlignment="1">
      <alignment horizontal="right"/>
    </xf>
    <xf numFmtId="166" fontId="0" fillId="0" borderId="0" xfId="0" applyNumberFormat="1" applyAlignment="1">
      <alignment horizontal="right"/>
    </xf>
    <xf numFmtId="164" fontId="0" fillId="0" borderId="34" xfId="0" applyNumberFormat="1" applyBorder="1" applyAlignment="1">
      <alignment horizontal="right"/>
    </xf>
    <xf numFmtId="167" fontId="0" fillId="0" borderId="34" xfId="0" applyNumberFormat="1" applyBorder="1" applyAlignment="1">
      <alignment horizontal="right"/>
    </xf>
    <xf numFmtId="0" fontId="9" fillId="10" borderId="34" xfId="0" applyFont="1" applyFill="1" applyBorder="1" applyAlignment="1">
      <alignment readingOrder="1"/>
    </xf>
    <xf numFmtId="0" fontId="40" fillId="10" borderId="30" xfId="0" applyFont="1" applyFill="1" applyBorder="1"/>
    <xf numFmtId="0" fontId="40" fillId="0" borderId="21" xfId="0" applyFont="1" applyBorder="1"/>
    <xf numFmtId="0" fontId="0" fillId="0" borderId="40" xfId="0" applyBorder="1"/>
    <xf numFmtId="166" fontId="0" fillId="0" borderId="40" xfId="0" applyNumberFormat="1" applyBorder="1"/>
    <xf numFmtId="0" fontId="41" fillId="20" borderId="32" xfId="0" applyFont="1" applyFill="1" applyBorder="1" applyAlignment="1">
      <alignment readingOrder="1"/>
    </xf>
    <xf numFmtId="166" fontId="0" fillId="0" borderId="32" xfId="0" applyNumberFormat="1" applyBorder="1" applyAlignment="1">
      <alignment horizontal="right"/>
    </xf>
    <xf numFmtId="166" fontId="0" fillId="0" borderId="40" xfId="0" applyNumberFormat="1" applyBorder="1" applyAlignment="1">
      <alignment horizontal="right"/>
    </xf>
    <xf numFmtId="167" fontId="0" fillId="0" borderId="32" xfId="0" applyNumberFormat="1" applyBorder="1" applyAlignment="1">
      <alignment horizontal="right"/>
    </xf>
    <xf numFmtId="167" fontId="0" fillId="0" borderId="40" xfId="0" applyNumberFormat="1" applyBorder="1" applyAlignment="1">
      <alignment horizontal="right"/>
    </xf>
    <xf numFmtId="167" fontId="0" fillId="0" borderId="33" xfId="0" applyNumberFormat="1" applyBorder="1" applyAlignment="1">
      <alignment horizontal="right"/>
    </xf>
    <xf numFmtId="0" fontId="3" fillId="9" borderId="10" xfId="0" applyFont="1" applyFill="1" applyBorder="1" applyAlignment="1">
      <alignment horizontal="left"/>
    </xf>
    <xf numFmtId="0" fontId="3" fillId="9" borderId="26" xfId="0" applyFont="1" applyFill="1" applyBorder="1" applyAlignment="1">
      <alignment horizontal="left"/>
    </xf>
    <xf numFmtId="0" fontId="38" fillId="9" borderId="34" xfId="0" applyFont="1" applyFill="1" applyBorder="1" applyAlignment="1">
      <alignment horizontal="center"/>
    </xf>
    <xf numFmtId="0" fontId="41" fillId="20" borderId="29" xfId="0" applyFont="1" applyFill="1" applyBorder="1" applyAlignment="1">
      <alignment readingOrder="1"/>
    </xf>
    <xf numFmtId="0" fontId="41" fillId="10" borderId="34" xfId="0" applyFont="1" applyFill="1" applyBorder="1" applyAlignment="1">
      <alignment readingOrder="1"/>
    </xf>
    <xf numFmtId="0" fontId="40" fillId="0" borderId="34" xfId="0" applyFont="1" applyBorder="1"/>
    <xf numFmtId="0" fontId="9" fillId="20" borderId="34" xfId="0" applyFont="1" applyFill="1" applyBorder="1" applyAlignment="1">
      <alignment readingOrder="1"/>
    </xf>
    <xf numFmtId="0" fontId="9" fillId="20" borderId="32" xfId="0" applyFont="1" applyFill="1" applyBorder="1" applyAlignment="1">
      <alignment readingOrder="1"/>
    </xf>
    <xf numFmtId="0" fontId="3" fillId="9" borderId="5" xfId="0" applyFont="1" applyFill="1" applyBorder="1" applyAlignment="1">
      <alignment horizontal="center" vertical="center"/>
    </xf>
    <xf numFmtId="9" fontId="0" fillId="15" borderId="14" xfId="0" applyNumberFormat="1" applyFill="1" applyBorder="1" applyAlignment="1">
      <alignment horizontal="center" vertical="center"/>
    </xf>
    <xf numFmtId="9" fontId="0" fillId="15" borderId="69" xfId="0" applyNumberFormat="1" applyFill="1" applyBorder="1" applyAlignment="1">
      <alignment horizontal="center" vertical="center"/>
    </xf>
    <xf numFmtId="9" fontId="0" fillId="15" borderId="5" xfId="0" applyNumberFormat="1" applyFill="1" applyBorder="1" applyAlignment="1">
      <alignment horizontal="center" vertical="center"/>
    </xf>
    <xf numFmtId="9" fontId="0" fillId="15" borderId="70" xfId="0" applyNumberFormat="1" applyFill="1" applyBorder="1" applyAlignment="1">
      <alignment horizontal="center" vertical="center"/>
    </xf>
    <xf numFmtId="9" fontId="0" fillId="16" borderId="70" xfId="0" applyNumberFormat="1" applyFill="1" applyBorder="1" applyAlignment="1">
      <alignment horizontal="center" vertical="center"/>
    </xf>
    <xf numFmtId="9" fontId="0" fillId="16" borderId="69" xfId="0" applyNumberFormat="1" applyFill="1" applyBorder="1" applyAlignment="1">
      <alignment horizontal="center" vertical="center"/>
    </xf>
    <xf numFmtId="9" fontId="0" fillId="16" borderId="5" xfId="0" applyNumberFormat="1" applyFill="1" applyBorder="1" applyAlignment="1">
      <alignment horizontal="center" vertical="center"/>
    </xf>
    <xf numFmtId="9" fontId="0" fillId="16" borderId="36" xfId="0" applyNumberFormat="1" applyFill="1" applyBorder="1" applyAlignment="1">
      <alignment horizontal="center" vertical="center"/>
    </xf>
    <xf numFmtId="164" fontId="0" fillId="17" borderId="5" xfId="0" applyNumberFormat="1" applyFill="1" applyBorder="1" applyAlignment="1">
      <alignment horizontal="center" vertical="center"/>
    </xf>
    <xf numFmtId="164" fontId="0" fillId="17" borderId="69" xfId="0" applyNumberFormat="1" applyFill="1" applyBorder="1" applyAlignment="1">
      <alignment horizontal="center" vertical="center"/>
    </xf>
    <xf numFmtId="164" fontId="0" fillId="17" borderId="70" xfId="0" applyNumberFormat="1" applyFill="1" applyBorder="1" applyAlignment="1">
      <alignment horizontal="center" vertical="center"/>
    </xf>
    <xf numFmtId="164" fontId="0" fillId="17" borderId="72" xfId="0" applyNumberFormat="1" applyFill="1" applyBorder="1" applyAlignment="1">
      <alignment horizontal="center" vertical="center"/>
    </xf>
    <xf numFmtId="9" fontId="0" fillId="18" borderId="69" xfId="0" applyNumberFormat="1" applyFill="1" applyBorder="1" applyAlignment="1">
      <alignment horizontal="center" vertical="center"/>
    </xf>
    <xf numFmtId="164" fontId="0" fillId="18" borderId="69" xfId="0" applyNumberFormat="1" applyFill="1" applyBorder="1" applyAlignment="1">
      <alignment horizontal="center" vertical="center"/>
    </xf>
    <xf numFmtId="9" fontId="0" fillId="19" borderId="72" xfId="0" applyNumberFormat="1" applyFill="1" applyBorder="1" applyAlignment="1">
      <alignment horizontal="center" vertical="center"/>
    </xf>
    <xf numFmtId="9" fontId="0" fillId="19" borderId="59" xfId="0" applyNumberFormat="1" applyFill="1" applyBorder="1" applyAlignment="1">
      <alignment horizontal="center" vertical="center"/>
    </xf>
    <xf numFmtId="9" fontId="0" fillId="19" borderId="52" xfId="0" applyNumberFormat="1" applyFill="1" applyBorder="1" applyAlignment="1">
      <alignment horizontal="center" vertical="center"/>
    </xf>
    <xf numFmtId="9" fontId="0" fillId="19" borderId="44" xfId="0" applyNumberFormat="1" applyFill="1" applyBorder="1" applyAlignment="1">
      <alignment horizontal="center" vertical="center"/>
    </xf>
    <xf numFmtId="9" fontId="0" fillId="19" borderId="51" xfId="0" applyNumberFormat="1" applyFill="1" applyBorder="1" applyAlignment="1">
      <alignment horizontal="center" vertical="center"/>
    </xf>
    <xf numFmtId="164" fontId="0" fillId="17" borderId="51" xfId="0" applyNumberFormat="1" applyFill="1" applyBorder="1" applyAlignment="1">
      <alignment horizontal="center" vertical="center"/>
    </xf>
    <xf numFmtId="164" fontId="0" fillId="17" borderId="45" xfId="0" applyNumberFormat="1" applyFill="1" applyBorder="1" applyAlignment="1">
      <alignment horizontal="center" vertical="center"/>
    </xf>
    <xf numFmtId="164" fontId="0" fillId="17" borderId="46" xfId="0" applyNumberFormat="1" applyFill="1" applyBorder="1" applyAlignment="1">
      <alignment horizontal="center" vertical="center"/>
    </xf>
    <xf numFmtId="164" fontId="0" fillId="19" borderId="59" xfId="0" applyNumberFormat="1" applyFill="1" applyBorder="1" applyAlignment="1">
      <alignment horizontal="center" vertical="center"/>
    </xf>
    <xf numFmtId="164" fontId="0" fillId="19" borderId="44" xfId="0" applyNumberFormat="1" applyFill="1" applyBorder="1" applyAlignment="1">
      <alignment horizontal="center" vertical="center"/>
    </xf>
    <xf numFmtId="9" fontId="0" fillId="19" borderId="56" xfId="0" applyNumberFormat="1" applyFill="1" applyBorder="1" applyAlignment="1">
      <alignment horizontal="center" vertical="center"/>
    </xf>
    <xf numFmtId="9" fontId="0" fillId="19" borderId="54" xfId="0" applyNumberFormat="1" applyFill="1" applyBorder="1" applyAlignment="1">
      <alignment horizontal="center" vertical="center"/>
    </xf>
    <xf numFmtId="9" fontId="0" fillId="15" borderId="51" xfId="0" applyNumberFormat="1" applyFill="1" applyBorder="1" applyAlignment="1">
      <alignment horizontal="center" vertical="center"/>
    </xf>
    <xf numFmtId="9" fontId="0" fillId="15" borderId="76" xfId="0" applyNumberFormat="1" applyFill="1" applyBorder="1" applyAlignment="1">
      <alignment horizontal="center" vertical="center"/>
    </xf>
    <xf numFmtId="9" fontId="0" fillId="15" borderId="56" xfId="0" applyNumberFormat="1" applyFill="1" applyBorder="1" applyAlignment="1">
      <alignment horizontal="center" vertical="center"/>
    </xf>
    <xf numFmtId="9" fontId="0" fillId="15" borderId="77" xfId="0" applyNumberFormat="1" applyFill="1" applyBorder="1" applyAlignment="1">
      <alignment horizontal="center" vertical="center"/>
    </xf>
    <xf numFmtId="9" fontId="0" fillId="15" borderId="54" xfId="0" applyNumberFormat="1" applyFill="1" applyBorder="1" applyAlignment="1">
      <alignment horizontal="center" vertical="center"/>
    </xf>
    <xf numFmtId="9" fontId="0" fillId="15" borderId="61" xfId="0" applyNumberFormat="1" applyFill="1" applyBorder="1" applyAlignment="1">
      <alignment horizontal="center" vertical="center"/>
    </xf>
    <xf numFmtId="9" fontId="0" fillId="16" borderId="60" xfId="0" applyNumberFormat="1" applyFill="1" applyBorder="1" applyAlignment="1">
      <alignment horizontal="center" vertical="center"/>
    </xf>
    <xf numFmtId="9" fontId="0" fillId="16" borderId="56" xfId="0" applyNumberFormat="1" applyFill="1" applyBorder="1" applyAlignment="1">
      <alignment horizontal="center" vertical="center"/>
    </xf>
    <xf numFmtId="9" fontId="0" fillId="16" borderId="78" xfId="0" applyNumberFormat="1" applyFill="1" applyBorder="1" applyAlignment="1">
      <alignment horizontal="center" vertical="center"/>
    </xf>
    <xf numFmtId="9" fontId="0" fillId="16" borderId="54" xfId="0" applyNumberFormat="1" applyFill="1" applyBorder="1" applyAlignment="1">
      <alignment horizontal="center" vertical="center"/>
    </xf>
    <xf numFmtId="164" fontId="0" fillId="17" borderId="50" xfId="0" applyNumberFormat="1" applyFill="1" applyBorder="1" applyAlignment="1">
      <alignment horizontal="center" vertical="center"/>
    </xf>
    <xf numFmtId="164" fontId="0" fillId="17" borderId="76" xfId="0" applyNumberFormat="1" applyFill="1" applyBorder="1" applyAlignment="1">
      <alignment horizontal="center" vertical="center"/>
    </xf>
    <xf numFmtId="164" fontId="0" fillId="17" borderId="77" xfId="0" applyNumberFormat="1" applyFill="1" applyBorder="1" applyAlignment="1">
      <alignment horizontal="center" vertical="center"/>
    </xf>
    <xf numFmtId="9" fontId="0" fillId="18" borderId="51" xfId="0" applyNumberFormat="1" applyFill="1" applyBorder="1" applyAlignment="1">
      <alignment horizontal="center" vertical="center"/>
    </xf>
    <xf numFmtId="9" fontId="0" fillId="18" borderId="60" xfId="0" applyNumberFormat="1" applyFill="1" applyBorder="1" applyAlignment="1">
      <alignment horizontal="center" vertical="center"/>
    </xf>
    <xf numFmtId="9" fontId="0" fillId="18" borderId="56" xfId="0" applyNumberFormat="1" applyFill="1" applyBorder="1" applyAlignment="1">
      <alignment horizontal="center" vertical="center"/>
    </xf>
    <xf numFmtId="9" fontId="0" fillId="18" borderId="76" xfId="0" applyNumberFormat="1" applyFill="1" applyBorder="1" applyAlignment="1">
      <alignment horizontal="center" vertical="center"/>
    </xf>
    <xf numFmtId="9" fontId="0" fillId="18" borderId="54" xfId="0" applyNumberFormat="1" applyFill="1" applyBorder="1" applyAlignment="1">
      <alignment horizontal="center" vertical="center"/>
    </xf>
    <xf numFmtId="9" fontId="0" fillId="19" borderId="78" xfId="0" applyNumberFormat="1" applyFill="1" applyBorder="1" applyAlignment="1">
      <alignment horizontal="center" vertical="center"/>
    </xf>
    <xf numFmtId="9" fontId="0" fillId="19" borderId="76" xfId="0" applyNumberFormat="1" applyFill="1" applyBorder="1" applyAlignment="1">
      <alignment horizontal="center" vertical="center"/>
    </xf>
    <xf numFmtId="9" fontId="0" fillId="19" borderId="57" xfId="0" applyNumberFormat="1" applyFill="1" applyBorder="1" applyAlignment="1">
      <alignment horizontal="center" vertical="center"/>
    </xf>
    <xf numFmtId="0" fontId="42" fillId="2" borderId="0" xfId="0" applyFont="1" applyFill="1" applyAlignment="1">
      <alignment horizontal="left" vertical="center"/>
    </xf>
    <xf numFmtId="0" fontId="43" fillId="0" borderId="0" xfId="0" applyFont="1" applyAlignment="1">
      <alignment horizontal="center"/>
    </xf>
    <xf numFmtId="0" fontId="42" fillId="38" borderId="0" xfId="0" applyFont="1" applyFill="1"/>
    <xf numFmtId="0" fontId="44" fillId="0" borderId="0" xfId="0" applyFont="1"/>
    <xf numFmtId="0" fontId="45" fillId="0" borderId="0" xfId="0" applyFont="1" applyAlignment="1">
      <alignment horizontal="center"/>
    </xf>
    <xf numFmtId="0" fontId="45" fillId="0" borderId="0" xfId="0" quotePrefix="1" applyFont="1" applyAlignment="1">
      <alignment horizontal="center"/>
    </xf>
    <xf numFmtId="0" fontId="0" fillId="0" borderId="31" xfId="0" applyBorder="1" applyAlignment="1">
      <alignment horizontal="center"/>
    </xf>
    <xf numFmtId="0" fontId="0" fillId="10" borderId="34" xfId="0" applyFill="1" applyBorder="1"/>
    <xf numFmtId="0" fontId="0" fillId="10" borderId="31" xfId="0" applyFill="1" applyBorder="1" applyAlignment="1">
      <alignment horizontal="center"/>
    </xf>
    <xf numFmtId="0" fontId="0" fillId="0" borderId="33" xfId="0" applyBorder="1" applyAlignment="1">
      <alignment horizontal="center"/>
    </xf>
    <xf numFmtId="0" fontId="3" fillId="9" borderId="26" xfId="0" applyFont="1" applyFill="1" applyBorder="1" applyAlignment="1">
      <alignment horizontal="center"/>
    </xf>
    <xf numFmtId="0" fontId="3" fillId="9" borderId="20" xfId="0" applyFont="1" applyFill="1" applyBorder="1" applyAlignment="1">
      <alignment horizontal="left" vertical="center"/>
    </xf>
    <xf numFmtId="0" fontId="0" fillId="0" borderId="10" xfId="0" applyBorder="1"/>
    <xf numFmtId="0" fontId="3" fillId="9" borderId="29" xfId="0" applyFont="1" applyFill="1" applyBorder="1" applyAlignment="1">
      <alignment horizontal="left" vertical="center"/>
    </xf>
    <xf numFmtId="0" fontId="3" fillId="9" borderId="10" xfId="0" applyFont="1" applyFill="1" applyBorder="1" applyAlignment="1">
      <alignment horizontal="center" vertical="center"/>
    </xf>
    <xf numFmtId="0" fontId="3" fillId="9" borderId="10" xfId="0" applyFont="1" applyFill="1" applyBorder="1" applyAlignment="1">
      <alignment horizontal="center"/>
    </xf>
    <xf numFmtId="0" fontId="0" fillId="0" borderId="34" xfId="0" applyBorder="1" applyAlignment="1">
      <alignment horizontal="left" vertical="center"/>
    </xf>
    <xf numFmtId="0" fontId="0" fillId="0" borderId="32" xfId="0" applyBorder="1" applyAlignment="1">
      <alignment horizontal="left" vertical="center"/>
    </xf>
    <xf numFmtId="0" fontId="0" fillId="2" borderId="40" xfId="0" applyFill="1" applyBorder="1" applyAlignment="1">
      <alignment horizontal="left" vertical="center"/>
    </xf>
    <xf numFmtId="0" fontId="0" fillId="0" borderId="40" xfId="0" applyBorder="1" applyAlignment="1">
      <alignment horizontal="left" vertical="center"/>
    </xf>
    <xf numFmtId="0" fontId="0" fillId="0" borderId="40" xfId="0" applyBorder="1" applyAlignment="1">
      <alignment horizontal="center" vertical="center"/>
    </xf>
    <xf numFmtId="0" fontId="1" fillId="5" borderId="40" xfId="0" applyFont="1" applyFill="1" applyBorder="1" applyAlignment="1">
      <alignment horizontal="center"/>
    </xf>
    <xf numFmtId="0" fontId="0" fillId="0" borderId="40" xfId="0" applyBorder="1" applyAlignment="1">
      <alignment horizontal="center"/>
    </xf>
    <xf numFmtId="10" fontId="0" fillId="0" borderId="0" xfId="0" applyNumberFormat="1"/>
    <xf numFmtId="168" fontId="0" fillId="0" borderId="0" xfId="0" applyNumberFormat="1"/>
    <xf numFmtId="2" fontId="0" fillId="0" borderId="0" xfId="0" applyNumberFormat="1"/>
    <xf numFmtId="0" fontId="34" fillId="0" borderId="0" xfId="0" applyFont="1"/>
    <xf numFmtId="0" fontId="0" fillId="21" borderId="8" xfId="0" applyFill="1" applyBorder="1"/>
    <xf numFmtId="0" fontId="0" fillId="0" borderId="8" xfId="0" applyBorder="1" applyAlignment="1">
      <alignment horizontal="left" vertical="center"/>
    </xf>
    <xf numFmtId="0" fontId="0" fillId="0" borderId="7" xfId="0" applyBorder="1" applyAlignment="1">
      <alignment horizontal="left" vertical="center" wrapText="1"/>
    </xf>
    <xf numFmtId="0" fontId="0" fillId="0" borderId="8" xfId="0" applyBorder="1" applyAlignment="1">
      <alignment horizontal="left" wrapText="1"/>
    </xf>
    <xf numFmtId="3" fontId="0" fillId="0" borderId="0" xfId="0" applyNumberFormat="1"/>
    <xf numFmtId="0" fontId="35" fillId="0" borderId="0" xfId="0" applyFont="1" applyAlignment="1">
      <alignment horizontal="center"/>
    </xf>
    <xf numFmtId="0" fontId="2" fillId="0" borderId="0" xfId="1" applyBorder="1"/>
    <xf numFmtId="0" fontId="46" fillId="14" borderId="2" xfId="0" applyFont="1" applyFill="1" applyBorder="1" applyAlignment="1">
      <alignment horizontal="left" vertical="center"/>
    </xf>
    <xf numFmtId="0" fontId="46" fillId="14" borderId="1" xfId="0" applyFont="1" applyFill="1" applyBorder="1" applyAlignment="1">
      <alignment horizontal="center" vertical="center"/>
    </xf>
    <xf numFmtId="0" fontId="46" fillId="14" borderId="2" xfId="0" applyFont="1" applyFill="1" applyBorder="1" applyAlignment="1">
      <alignment horizontal="center" vertical="center"/>
    </xf>
    <xf numFmtId="0" fontId="34" fillId="15" borderId="38" xfId="0" applyFont="1" applyFill="1" applyBorder="1" applyAlignment="1">
      <alignment horizontal="left" vertical="center"/>
    </xf>
    <xf numFmtId="0" fontId="35" fillId="0" borderId="0" xfId="0" applyFont="1" applyAlignment="1">
      <alignment horizontal="left" vertical="top"/>
    </xf>
    <xf numFmtId="0" fontId="34" fillId="15" borderId="38" xfId="0" applyFont="1" applyFill="1" applyBorder="1" applyAlignment="1">
      <alignment horizontal="left" vertical="center" indent="1"/>
    </xf>
    <xf numFmtId="0" fontId="34" fillId="15" borderId="38" xfId="0" applyFont="1" applyFill="1" applyBorder="1" applyAlignment="1">
      <alignment horizontal="left" vertical="center" indent="2"/>
    </xf>
    <xf numFmtId="0" fontId="34" fillId="16" borderId="24" xfId="0" applyFont="1" applyFill="1" applyBorder="1" applyAlignment="1">
      <alignment horizontal="left" vertical="center"/>
    </xf>
    <xf numFmtId="0" fontId="34" fillId="17" borderId="38" xfId="0" applyFont="1" applyFill="1" applyBorder="1" applyAlignment="1">
      <alignment horizontal="left" vertical="center"/>
    </xf>
    <xf numFmtId="0" fontId="34" fillId="18" borderId="24" xfId="0" applyFont="1" applyFill="1" applyBorder="1" applyAlignment="1">
      <alignment horizontal="left" vertical="center"/>
    </xf>
    <xf numFmtId="0" fontId="34" fillId="19" borderId="24" xfId="0" applyFont="1" applyFill="1" applyBorder="1" applyAlignment="1">
      <alignment horizontal="left" vertical="center"/>
    </xf>
    <xf numFmtId="0" fontId="46" fillId="14" borderId="62" xfId="0" applyFont="1" applyFill="1" applyBorder="1" applyAlignment="1">
      <alignment horizontal="left" vertical="center"/>
    </xf>
    <xf numFmtId="0" fontId="46" fillId="14" borderId="63" xfId="0" applyFont="1" applyFill="1" applyBorder="1" applyAlignment="1">
      <alignment horizontal="center" vertical="center"/>
    </xf>
    <xf numFmtId="0" fontId="46" fillId="14" borderId="64" xfId="0" applyFont="1" applyFill="1" applyBorder="1" applyAlignment="1">
      <alignment horizontal="center" vertical="center"/>
    </xf>
    <xf numFmtId="0" fontId="46" fillId="14" borderId="65" xfId="0" applyFont="1" applyFill="1" applyBorder="1" applyAlignment="1">
      <alignment horizontal="center" vertical="center"/>
    </xf>
    <xf numFmtId="0" fontId="46" fillId="14" borderId="62" xfId="0" applyFont="1" applyFill="1" applyBorder="1" applyAlignment="1">
      <alignment horizontal="left" vertical="center" wrapText="1"/>
    </xf>
    <xf numFmtId="0" fontId="46" fillId="14" borderId="66" xfId="0" applyFont="1" applyFill="1" applyBorder="1" applyAlignment="1">
      <alignment horizontal="center" vertical="center"/>
    </xf>
    <xf numFmtId="0" fontId="46" fillId="14" borderId="67" xfId="0" applyFont="1" applyFill="1" applyBorder="1" applyAlignment="1">
      <alignment horizontal="center" vertical="center"/>
    </xf>
    <xf numFmtId="0" fontId="46" fillId="14" borderId="68" xfId="0" applyFont="1" applyFill="1" applyBorder="1" applyAlignment="1">
      <alignment horizontal="left" vertical="center" wrapText="1"/>
    </xf>
    <xf numFmtId="0" fontId="34" fillId="15" borderId="30" xfId="0" applyFont="1" applyFill="1" applyBorder="1" applyAlignment="1">
      <alignment horizontal="left" vertical="center"/>
    </xf>
    <xf numFmtId="0" fontId="34" fillId="15" borderId="34" xfId="0" applyFont="1" applyFill="1" applyBorder="1" applyAlignment="1">
      <alignment horizontal="left" vertical="center"/>
    </xf>
    <xf numFmtId="0" fontId="34" fillId="15" borderId="30" xfId="0" applyFont="1" applyFill="1" applyBorder="1" applyAlignment="1">
      <alignment horizontal="left" vertical="center" indent="1"/>
    </xf>
    <xf numFmtId="0" fontId="34" fillId="15" borderId="34" xfId="0" applyFont="1" applyFill="1" applyBorder="1" applyAlignment="1">
      <alignment horizontal="left" vertical="center" indent="1"/>
    </xf>
    <xf numFmtId="0" fontId="34" fillId="15" borderId="30" xfId="0" applyFont="1" applyFill="1" applyBorder="1" applyAlignment="1">
      <alignment horizontal="left" vertical="center" indent="2"/>
    </xf>
    <xf numFmtId="0" fontId="34" fillId="15" borderId="34" xfId="0" applyFont="1" applyFill="1" applyBorder="1" applyAlignment="1">
      <alignment horizontal="left" vertical="center" indent="2"/>
    </xf>
    <xf numFmtId="0" fontId="34" fillId="16" borderId="30" xfId="0" applyFont="1" applyFill="1" applyBorder="1" applyAlignment="1">
      <alignment horizontal="left" vertical="center"/>
    </xf>
    <xf numFmtId="0" fontId="34" fillId="16" borderId="34" xfId="0" applyFont="1" applyFill="1" applyBorder="1" applyAlignment="1">
      <alignment horizontal="left" vertical="center"/>
    </xf>
    <xf numFmtId="0" fontId="34" fillId="16" borderId="30" xfId="0" applyFont="1" applyFill="1" applyBorder="1" applyAlignment="1">
      <alignment horizontal="left" vertical="center" indent="1"/>
    </xf>
    <xf numFmtId="0" fontId="34" fillId="16" borderId="71" xfId="0" applyFont="1" applyFill="1" applyBorder="1" applyAlignment="1">
      <alignment horizontal="left" vertical="center" indent="1"/>
    </xf>
    <xf numFmtId="0" fontId="34" fillId="17" borderId="30" xfId="0" applyFont="1" applyFill="1" applyBorder="1" applyAlignment="1">
      <alignment horizontal="left" vertical="center"/>
    </xf>
    <xf numFmtId="0" fontId="34" fillId="17" borderId="34" xfId="0" applyFont="1" applyFill="1" applyBorder="1" applyAlignment="1">
      <alignment horizontal="left" vertical="center"/>
    </xf>
    <xf numFmtId="0" fontId="34" fillId="17" borderId="30" xfId="0" applyFont="1" applyFill="1" applyBorder="1" applyAlignment="1">
      <alignment horizontal="left" vertical="center" indent="1"/>
    </xf>
    <xf numFmtId="0" fontId="34" fillId="17" borderId="34" xfId="0" applyFont="1" applyFill="1" applyBorder="1" applyAlignment="1">
      <alignment horizontal="left" vertical="center" indent="1"/>
    </xf>
    <xf numFmtId="0" fontId="34" fillId="18" borderId="30" xfId="0" applyFont="1" applyFill="1" applyBorder="1" applyAlignment="1">
      <alignment horizontal="left" vertical="center"/>
    </xf>
    <xf numFmtId="0" fontId="34" fillId="18" borderId="71" xfId="0" applyFont="1" applyFill="1" applyBorder="1" applyAlignment="1">
      <alignment horizontal="left" vertical="center"/>
    </xf>
    <xf numFmtId="0" fontId="34" fillId="18" borderId="30" xfId="0" applyFont="1" applyFill="1" applyBorder="1" applyAlignment="1">
      <alignment horizontal="left" vertical="center" indent="1"/>
    </xf>
    <xf numFmtId="0" fontId="34" fillId="18" borderId="34" xfId="0" applyFont="1" applyFill="1" applyBorder="1" applyAlignment="1">
      <alignment horizontal="left" vertical="center" indent="1"/>
    </xf>
    <xf numFmtId="0" fontId="34" fillId="18" borderId="71" xfId="0" applyFont="1" applyFill="1" applyBorder="1" applyAlignment="1">
      <alignment horizontal="left" vertical="center" indent="1"/>
    </xf>
    <xf numFmtId="0" fontId="34" fillId="19" borderId="21" xfId="0" applyFont="1" applyFill="1" applyBorder="1" applyAlignment="1">
      <alignment horizontal="left" vertical="center"/>
    </xf>
    <xf numFmtId="0" fontId="34" fillId="19" borderId="73" xfId="0" applyFont="1" applyFill="1" applyBorder="1" applyAlignment="1">
      <alignment horizontal="left" vertical="center"/>
    </xf>
    <xf numFmtId="0" fontId="34" fillId="19" borderId="24" xfId="0" applyFont="1" applyFill="1" applyBorder="1" applyAlignment="1">
      <alignment horizontal="left" vertical="center" indent="1"/>
    </xf>
    <xf numFmtId="0" fontId="46" fillId="14" borderId="68" xfId="0" applyFont="1" applyFill="1" applyBorder="1" applyAlignment="1">
      <alignment horizontal="left" vertical="center"/>
    </xf>
    <xf numFmtId="0" fontId="46" fillId="14" borderId="74" xfId="0" applyFont="1" applyFill="1" applyBorder="1" applyAlignment="1">
      <alignment horizontal="center" vertical="center"/>
    </xf>
    <xf numFmtId="0" fontId="46" fillId="14" borderId="20" xfId="0" applyFont="1" applyFill="1" applyBorder="1" applyAlignment="1">
      <alignment horizontal="center" vertical="center"/>
    </xf>
    <xf numFmtId="0" fontId="34" fillId="19" borderId="39" xfId="0" applyFont="1" applyFill="1" applyBorder="1" applyAlignment="1">
      <alignment horizontal="left" vertical="center" indent="1"/>
    </xf>
    <xf numFmtId="0" fontId="46" fillId="14" borderId="2" xfId="0" applyFont="1" applyFill="1" applyBorder="1" applyAlignment="1">
      <alignment horizontal="left" vertical="center" wrapText="1"/>
    </xf>
    <xf numFmtId="0" fontId="46" fillId="14" borderId="35" xfId="0" applyFont="1" applyFill="1" applyBorder="1" applyAlignment="1">
      <alignment horizontal="center" vertical="center"/>
    </xf>
    <xf numFmtId="0" fontId="46" fillId="14" borderId="37" xfId="0" applyFont="1" applyFill="1" applyBorder="1" applyAlignment="1">
      <alignment horizontal="center" vertical="center"/>
    </xf>
    <xf numFmtId="0" fontId="46" fillId="14" borderId="75" xfId="0" applyFont="1" applyFill="1" applyBorder="1" applyAlignment="1">
      <alignment horizontal="left" vertical="center" wrapText="1"/>
    </xf>
    <xf numFmtId="0" fontId="46" fillId="14" borderId="29" xfId="0" applyFont="1" applyFill="1" applyBorder="1" applyAlignment="1">
      <alignment horizontal="center" vertical="center"/>
    </xf>
    <xf numFmtId="0" fontId="46" fillId="14" borderId="26" xfId="0" applyFont="1" applyFill="1" applyBorder="1" applyAlignment="1">
      <alignment horizontal="center" vertical="center"/>
    </xf>
    <xf numFmtId="0" fontId="34" fillId="16" borderId="38" xfId="0" applyFont="1" applyFill="1" applyBorder="1" applyAlignment="1">
      <alignment horizontal="left" vertical="center"/>
    </xf>
    <xf numFmtId="0" fontId="34" fillId="16" borderId="24" xfId="0" applyFont="1" applyFill="1" applyBorder="1" applyAlignment="1">
      <alignment horizontal="left" vertical="center" indent="1"/>
    </xf>
    <xf numFmtId="0" fontId="34" fillId="16" borderId="34" xfId="0" applyFont="1" applyFill="1" applyBorder="1" applyAlignment="1">
      <alignment horizontal="left" vertical="center" indent="1"/>
    </xf>
    <xf numFmtId="0" fontId="34" fillId="17" borderId="38" xfId="0" applyFont="1" applyFill="1" applyBorder="1" applyAlignment="1">
      <alignment horizontal="left" vertical="center" indent="1"/>
    </xf>
    <xf numFmtId="0" fontId="34" fillId="18" borderId="24" xfId="0" applyFont="1" applyFill="1" applyBorder="1" applyAlignment="1">
      <alignment horizontal="left" vertical="center" indent="1"/>
    </xf>
    <xf numFmtId="0" fontId="34" fillId="19" borderId="32" xfId="0" applyFont="1" applyFill="1" applyBorder="1" applyAlignment="1">
      <alignment horizontal="left" vertical="center"/>
    </xf>
    <xf numFmtId="0" fontId="33" fillId="0" borderId="0" xfId="0" applyFont="1" applyAlignment="1">
      <alignment horizontal="left" vertical="center" wrapText="1"/>
    </xf>
    <xf numFmtId="0" fontId="33" fillId="0" borderId="9" xfId="0" applyFont="1" applyBorder="1" applyAlignment="1">
      <alignment vertical="center" wrapText="1"/>
    </xf>
    <xf numFmtId="0" fontId="2" fillId="0" borderId="0" xfId="1" applyAlignment="1">
      <alignment horizontal="center" vertical="center"/>
    </xf>
    <xf numFmtId="0" fontId="0" fillId="22" borderId="0" xfId="0" applyFill="1" applyAlignment="1">
      <alignment horizontal="center" vertical="center"/>
    </xf>
    <xf numFmtId="0" fontId="0" fillId="39" borderId="0" xfId="0" applyFill="1" applyAlignment="1">
      <alignment horizontal="center" vertical="center"/>
    </xf>
    <xf numFmtId="0" fontId="3" fillId="9" borderId="0" xfId="0" applyFont="1" applyFill="1" applyAlignment="1">
      <alignment vertical="center"/>
    </xf>
    <xf numFmtId="0" fontId="3" fillId="9" borderId="0" xfId="0" applyFont="1" applyFill="1" applyAlignment="1">
      <alignment horizontal="left" vertical="center"/>
    </xf>
    <xf numFmtId="0" fontId="13" fillId="2" borderId="9" xfId="0" applyFont="1" applyFill="1" applyBorder="1" applyAlignment="1">
      <alignment horizontal="center" vertical="center"/>
    </xf>
    <xf numFmtId="0" fontId="13" fillId="2" borderId="12" xfId="0" applyFont="1" applyFill="1" applyBorder="1" applyAlignment="1">
      <alignment horizontal="center" vertical="center"/>
    </xf>
    <xf numFmtId="0" fontId="9" fillId="10" borderId="9"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4" fillId="10" borderId="0" xfId="0" applyFont="1" applyFill="1" applyAlignment="1">
      <alignment horizontal="center" vertical="center"/>
    </xf>
    <xf numFmtId="0" fontId="13" fillId="2" borderId="11"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34" fillId="37" borderId="0" xfId="0" applyFont="1" applyFill="1" applyAlignment="1">
      <alignment horizontal="center" vertical="center"/>
    </xf>
    <xf numFmtId="0" fontId="3" fillId="9" borderId="26" xfId="0" applyFont="1" applyFill="1" applyBorder="1" applyAlignment="1">
      <alignment horizontal="center" vertical="top"/>
    </xf>
    <xf numFmtId="0" fontId="3" fillId="9" borderId="33" xfId="0" applyFont="1" applyFill="1" applyBorder="1" applyAlignment="1">
      <alignment horizontal="center" vertical="top"/>
    </xf>
    <xf numFmtId="0" fontId="34" fillId="36" borderId="0" xfId="0" applyFont="1" applyFill="1" applyAlignment="1">
      <alignment horizontal="center" vertical="center"/>
    </xf>
    <xf numFmtId="0" fontId="3" fillId="9" borderId="20" xfId="0" applyFont="1" applyFill="1" applyBorder="1" applyAlignment="1">
      <alignment horizontal="center" wrapText="1"/>
    </xf>
    <xf numFmtId="0" fontId="3" fillId="9" borderId="21" xfId="0" applyFont="1" applyFill="1" applyBorder="1" applyAlignment="1">
      <alignment horizontal="center" wrapText="1"/>
    </xf>
    <xf numFmtId="0" fontId="34" fillId="7" borderId="0" xfId="0" applyFont="1" applyFill="1" applyAlignment="1">
      <alignment horizontal="center" vertical="center"/>
    </xf>
    <xf numFmtId="0" fontId="34" fillId="35" borderId="10" xfId="0" applyFont="1" applyFill="1" applyBorder="1" applyAlignment="1">
      <alignment horizontal="center" vertical="center"/>
    </xf>
    <xf numFmtId="0" fontId="34" fillId="35" borderId="0" xfId="0" applyFont="1" applyFill="1" applyAlignment="1">
      <alignment horizontal="center" vertical="center"/>
    </xf>
    <xf numFmtId="0" fontId="3" fillId="9" borderId="26" xfId="0" applyFont="1" applyFill="1" applyBorder="1" applyAlignment="1">
      <alignment horizontal="center" wrapText="1"/>
    </xf>
    <xf numFmtId="0" fontId="3" fillId="9" borderId="33" xfId="0" applyFont="1" applyFill="1" applyBorder="1" applyAlignment="1">
      <alignment horizontal="center" wrapText="1"/>
    </xf>
    <xf numFmtId="0" fontId="3" fillId="9" borderId="29" xfId="0" applyFont="1" applyFill="1" applyBorder="1" applyAlignment="1">
      <alignment horizontal="center" vertical="top"/>
    </xf>
    <xf numFmtId="0" fontId="3" fillId="9" borderId="32" xfId="0" applyFont="1" applyFill="1" applyBorder="1" applyAlignment="1">
      <alignment horizontal="center" vertical="top"/>
    </xf>
    <xf numFmtId="0" fontId="3" fillId="9" borderId="10" xfId="0" applyFont="1" applyFill="1" applyBorder="1" applyAlignment="1">
      <alignment horizontal="center" vertical="top"/>
    </xf>
    <xf numFmtId="0" fontId="3" fillId="9" borderId="40" xfId="0" applyFont="1" applyFill="1" applyBorder="1" applyAlignment="1">
      <alignment horizontal="center" vertical="top"/>
    </xf>
    <xf numFmtId="0" fontId="3" fillId="9" borderId="29" xfId="0" applyFont="1" applyFill="1" applyBorder="1" applyAlignment="1">
      <alignment horizontal="center" vertical="center"/>
    </xf>
    <xf numFmtId="0" fontId="3" fillId="9" borderId="32" xfId="0" applyFont="1" applyFill="1" applyBorder="1" applyAlignment="1">
      <alignment horizontal="center" vertical="center"/>
    </xf>
    <xf numFmtId="0" fontId="3" fillId="9" borderId="29" xfId="0" applyFont="1" applyFill="1" applyBorder="1" applyAlignment="1">
      <alignment horizontal="center"/>
    </xf>
    <xf numFmtId="0" fontId="3" fillId="9" borderId="26" xfId="0" applyFont="1" applyFill="1" applyBorder="1" applyAlignment="1">
      <alignment horizontal="center"/>
    </xf>
    <xf numFmtId="0" fontId="3" fillId="9" borderId="5" xfId="0" applyFont="1" applyFill="1" applyBorder="1" applyAlignment="1">
      <alignment horizontal="center"/>
    </xf>
    <xf numFmtId="0" fontId="3" fillId="9" borderId="14" xfId="0" applyFont="1" applyFill="1" applyBorder="1" applyAlignment="1">
      <alignment horizontal="center"/>
    </xf>
    <xf numFmtId="0" fontId="3" fillId="9" borderId="20" xfId="0" applyFont="1" applyFill="1" applyBorder="1" applyAlignment="1">
      <alignment horizontal="center" vertical="center"/>
    </xf>
    <xf numFmtId="0" fontId="3" fillId="9" borderId="21" xfId="0" applyFont="1" applyFill="1" applyBorder="1" applyAlignment="1">
      <alignment horizontal="center" vertical="center"/>
    </xf>
    <xf numFmtId="0" fontId="39" fillId="9" borderId="29" xfId="0" applyFont="1" applyFill="1" applyBorder="1" applyAlignment="1">
      <alignment horizontal="center"/>
    </xf>
    <xf numFmtId="0" fontId="39" fillId="9" borderId="10" xfId="0" applyFont="1" applyFill="1" applyBorder="1" applyAlignment="1">
      <alignment horizontal="center"/>
    </xf>
    <xf numFmtId="0" fontId="39" fillId="9" borderId="26" xfId="0" applyFont="1" applyFill="1" applyBorder="1" applyAlignment="1">
      <alignment horizontal="center"/>
    </xf>
    <xf numFmtId="0" fontId="11" fillId="9" borderId="29" xfId="0" applyFont="1" applyFill="1" applyBorder="1" applyAlignment="1">
      <alignment horizontal="left"/>
    </xf>
    <xf numFmtId="0" fontId="11" fillId="9" borderId="10" xfId="0" applyFont="1" applyFill="1" applyBorder="1" applyAlignment="1">
      <alignment horizontal="left"/>
    </xf>
    <xf numFmtId="0" fontId="11" fillId="9" borderId="26" xfId="0" applyFont="1" applyFill="1" applyBorder="1" applyAlignment="1">
      <alignment horizontal="left"/>
    </xf>
    <xf numFmtId="0" fontId="38" fillId="9" borderId="29" xfId="0" applyFont="1" applyFill="1" applyBorder="1" applyAlignment="1">
      <alignment horizontal="left" vertical="center"/>
    </xf>
    <xf numFmtId="0" fontId="38" fillId="9" borderId="10" xfId="0" applyFont="1" applyFill="1" applyBorder="1" applyAlignment="1">
      <alignment horizontal="left" vertical="center"/>
    </xf>
    <xf numFmtId="0" fontId="38" fillId="9" borderId="26" xfId="0" applyFont="1" applyFill="1" applyBorder="1" applyAlignment="1">
      <alignment horizontal="left" vertical="center"/>
    </xf>
    <xf numFmtId="0" fontId="22" fillId="26" borderId="29" xfId="0" applyFont="1" applyFill="1" applyBorder="1" applyAlignment="1">
      <alignment horizontal="center" vertical="center"/>
    </xf>
    <xf numFmtId="0" fontId="22" fillId="25" borderId="29" xfId="0" applyFont="1" applyFill="1" applyBorder="1" applyAlignment="1">
      <alignment horizontal="center" vertical="center"/>
    </xf>
    <xf numFmtId="0" fontId="22" fillId="25" borderId="20" xfId="0" applyFont="1" applyFill="1" applyBorder="1" applyAlignment="1">
      <alignment horizontal="center" vertical="center"/>
    </xf>
    <xf numFmtId="0" fontId="22" fillId="25" borderId="26" xfId="0" applyFont="1" applyFill="1" applyBorder="1" applyAlignment="1">
      <alignment horizontal="center" vertical="center"/>
    </xf>
    <xf numFmtId="0" fontId="24" fillId="26" borderId="20" xfId="0" applyFont="1" applyFill="1" applyBorder="1" applyAlignment="1">
      <alignment horizontal="center" vertical="center"/>
    </xf>
    <xf numFmtId="0" fontId="22" fillId="26" borderId="13" xfId="0" applyFont="1" applyFill="1" applyBorder="1" applyAlignment="1">
      <alignment horizontal="center"/>
    </xf>
    <xf numFmtId="0" fontId="30" fillId="33" borderId="29" xfId="0" applyFont="1" applyFill="1" applyBorder="1" applyAlignment="1">
      <alignment horizontal="left"/>
    </xf>
    <xf numFmtId="0" fontId="30" fillId="33" borderId="32" xfId="0" applyFont="1" applyFill="1" applyBorder="1" applyAlignment="1">
      <alignment horizontal="left"/>
    </xf>
    <xf numFmtId="0" fontId="30" fillId="29" borderId="0" xfId="0" applyFont="1" applyFill="1" applyAlignment="1">
      <alignment horizontal="center" vertical="center" textRotation="90" wrapText="1"/>
    </xf>
    <xf numFmtId="0" fontId="30" fillId="30" borderId="31" xfId="0" applyFont="1" applyFill="1" applyBorder="1" applyAlignment="1">
      <alignment horizontal="center" vertical="center" textRotation="90" wrapText="1"/>
    </xf>
    <xf numFmtId="0" fontId="31" fillId="31" borderId="0" xfId="0" applyFont="1" applyFill="1" applyAlignment="1">
      <alignment horizontal="center" vertical="center" textRotation="90" wrapText="1"/>
    </xf>
    <xf numFmtId="0" fontId="3" fillId="14" borderId="11" xfId="0" applyFont="1" applyFill="1" applyBorder="1" applyAlignment="1">
      <alignment horizontal="center"/>
    </xf>
    <xf numFmtId="0" fontId="3" fillId="14" borderId="8" xfId="0" applyFont="1" applyFill="1" applyBorder="1" applyAlignment="1">
      <alignment horizontal="center"/>
    </xf>
    <xf numFmtId="0" fontId="25" fillId="0" borderId="5" xfId="0" applyFont="1" applyBorder="1" applyAlignment="1"/>
    <xf numFmtId="0" fontId="25" fillId="0" borderId="14" xfId="0" applyFont="1" applyBorder="1" applyAlignment="1"/>
    <xf numFmtId="0" fontId="25" fillId="0" borderId="26" xfId="0" applyFont="1" applyBorder="1" applyAlignment="1"/>
    <xf numFmtId="0" fontId="25" fillId="0" borderId="32" xfId="0" applyFont="1" applyBorder="1" applyAlignment="1"/>
    <xf numFmtId="0" fontId="25" fillId="0" borderId="21" xfId="0" applyFont="1" applyBorder="1" applyAlignment="1"/>
    <xf numFmtId="0" fontId="25" fillId="0" borderId="33" xfId="0" applyFont="1" applyBorder="1" applyAlignment="1"/>
    <xf numFmtId="0" fontId="25" fillId="0" borderId="0" xfId="0" applyFont="1" applyAlignment="1"/>
    <xf numFmtId="0" fontId="25" fillId="0" borderId="31" xfId="0" applyFont="1" applyBorder="1" applyAlignment="1"/>
    <xf numFmtId="0" fontId="25" fillId="0" borderId="40" xfId="0" applyFont="1" applyBorder="1" applyAlignment="1"/>
    <xf numFmtId="0" fontId="25" fillId="0" borderId="10" xfId="0" applyFont="1" applyBorder="1" applyAlignment="1"/>
  </cellXfs>
  <cellStyles count="2">
    <cellStyle name="Hyperlink" xfId="1" xr:uid="{00000000-000B-0000-0000-000008000000}"/>
    <cellStyle name="Normal" xfId="0" builtinId="0"/>
  </cellStyles>
  <dxfs count="26">
    <dxf>
      <font>
        <color rgb="FF006100"/>
      </font>
      <fill>
        <patternFill patternType="solid">
          <fgColor rgb="FFC6EFCE"/>
          <bgColor rgb="FFC6EFCE"/>
        </patternFill>
      </fill>
    </dxf>
    <dxf>
      <fill>
        <patternFill patternType="solid">
          <fgColor rgb="FFFF9900"/>
          <bgColor rgb="FFFF99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 Target="richData/rdsupporting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7</xdr:row>
      <xdr:rowOff>66675</xdr:rowOff>
    </xdr:from>
    <xdr:to>
      <xdr:col>1</xdr:col>
      <xdr:colOff>1238250</xdr:colOff>
      <xdr:row>14</xdr:row>
      <xdr:rowOff>95250</xdr:rowOff>
    </xdr:to>
    <xdr:pic>
      <xdr:nvPicPr>
        <xdr:cNvPr id="10" name="Imagem 9">
          <a:extLst>
            <a:ext uri="{FF2B5EF4-FFF2-40B4-BE49-F238E27FC236}">
              <a16:creationId xmlns:a16="http://schemas.microsoft.com/office/drawing/2014/main" id="{E9AAAA27-28E1-D5E4-899D-4E9C0E3B80AE}"/>
            </a:ext>
            <a:ext uri="{147F2762-F138-4A5C-976F-8EAC2B608ADB}">
              <a16:predDERef xmlns:a16="http://schemas.microsoft.com/office/drawing/2014/main" pred="{B33C2CE5-0774-4BBE-BE9B-1826D8E61D21}"/>
            </a:ext>
          </a:extLst>
        </xdr:cNvPr>
        <xdr:cNvPicPr>
          <a:picLocks noChangeAspect="1"/>
        </xdr:cNvPicPr>
      </xdr:nvPicPr>
      <xdr:blipFill>
        <a:blip xmlns:r="http://schemas.openxmlformats.org/officeDocument/2006/relationships" r:embed="rId1"/>
        <a:stretch>
          <a:fillRect/>
        </a:stretch>
      </xdr:blipFill>
      <xdr:spPr>
        <a:xfrm>
          <a:off x="228600" y="1009650"/>
          <a:ext cx="1009650" cy="1390650"/>
        </a:xfrm>
        <a:prstGeom prst="rect">
          <a:avLst/>
        </a:prstGeom>
      </xdr:spPr>
    </xdr:pic>
    <xdr:clientData/>
  </xdr:twoCellAnchor>
  <xdr:twoCellAnchor editAs="oneCell">
    <xdr:from>
      <xdr:col>1</xdr:col>
      <xdr:colOff>1295400</xdr:colOff>
      <xdr:row>7</xdr:row>
      <xdr:rowOff>76200</xdr:rowOff>
    </xdr:from>
    <xdr:to>
      <xdr:col>1</xdr:col>
      <xdr:colOff>2257425</xdr:colOff>
      <xdr:row>14</xdr:row>
      <xdr:rowOff>95250</xdr:rowOff>
    </xdr:to>
    <xdr:pic>
      <xdr:nvPicPr>
        <xdr:cNvPr id="11" name="Imagem 10">
          <a:extLst>
            <a:ext uri="{FF2B5EF4-FFF2-40B4-BE49-F238E27FC236}">
              <a16:creationId xmlns:a16="http://schemas.microsoft.com/office/drawing/2014/main" id="{3EDEB778-AD42-E60F-7653-3AD21D6F77F7}"/>
            </a:ext>
            <a:ext uri="{147F2762-F138-4A5C-976F-8EAC2B608ADB}">
              <a16:predDERef xmlns:a16="http://schemas.microsoft.com/office/drawing/2014/main" pred="{E9AAAA27-28E1-D5E4-899D-4E9C0E3B80AE}"/>
            </a:ext>
          </a:extLst>
        </xdr:cNvPr>
        <xdr:cNvPicPr>
          <a:picLocks noChangeAspect="1"/>
        </xdr:cNvPicPr>
      </xdr:nvPicPr>
      <xdr:blipFill>
        <a:blip xmlns:r="http://schemas.openxmlformats.org/officeDocument/2006/relationships" r:embed="rId2"/>
        <a:stretch>
          <a:fillRect/>
        </a:stretch>
      </xdr:blipFill>
      <xdr:spPr>
        <a:xfrm>
          <a:off x="1295400" y="1019175"/>
          <a:ext cx="962025" cy="1381125"/>
        </a:xfrm>
        <a:prstGeom prst="rect">
          <a:avLst/>
        </a:prstGeom>
      </xdr:spPr>
    </xdr:pic>
    <xdr:clientData/>
  </xdr:twoCellAnchor>
  <xdr:twoCellAnchor editAs="oneCell">
    <xdr:from>
      <xdr:col>1</xdr:col>
      <xdr:colOff>2371725</xdr:colOff>
      <xdr:row>7</xdr:row>
      <xdr:rowOff>76200</xdr:rowOff>
    </xdr:from>
    <xdr:to>
      <xdr:col>1</xdr:col>
      <xdr:colOff>3324225</xdr:colOff>
      <xdr:row>14</xdr:row>
      <xdr:rowOff>95250</xdr:rowOff>
    </xdr:to>
    <xdr:pic>
      <xdr:nvPicPr>
        <xdr:cNvPr id="12" name="Imagem 11">
          <a:extLst>
            <a:ext uri="{FF2B5EF4-FFF2-40B4-BE49-F238E27FC236}">
              <a16:creationId xmlns:a16="http://schemas.microsoft.com/office/drawing/2014/main" id="{59D8F3AA-498B-9A67-59D1-FAA62D1A3786}"/>
            </a:ext>
            <a:ext uri="{147F2762-F138-4A5C-976F-8EAC2B608ADB}">
              <a16:predDERef xmlns:a16="http://schemas.microsoft.com/office/drawing/2014/main" pred="{3EDEB778-AD42-E60F-7653-3AD21D6F77F7}"/>
            </a:ext>
          </a:extLst>
        </xdr:cNvPr>
        <xdr:cNvPicPr>
          <a:picLocks noChangeAspect="1"/>
        </xdr:cNvPicPr>
      </xdr:nvPicPr>
      <xdr:blipFill>
        <a:blip xmlns:r="http://schemas.openxmlformats.org/officeDocument/2006/relationships" r:embed="rId3"/>
        <a:srcRect l="4571"/>
        <a:stretch>
          <a:fillRect/>
        </a:stretch>
      </xdr:blipFill>
      <xdr:spPr>
        <a:xfrm>
          <a:off x="2371725" y="1019175"/>
          <a:ext cx="952500" cy="1381125"/>
        </a:xfrm>
        <a:prstGeom prst="rect">
          <a:avLst/>
        </a:prstGeom>
      </xdr:spPr>
    </xdr:pic>
    <xdr:clientData/>
  </xdr:twoCellAnchor>
  <xdr:twoCellAnchor editAs="oneCell">
    <xdr:from>
      <xdr:col>1</xdr:col>
      <xdr:colOff>3352800</xdr:colOff>
      <xdr:row>7</xdr:row>
      <xdr:rowOff>66675</xdr:rowOff>
    </xdr:from>
    <xdr:to>
      <xdr:col>1</xdr:col>
      <xdr:colOff>4200525</xdr:colOff>
      <xdr:row>14</xdr:row>
      <xdr:rowOff>114300</xdr:rowOff>
    </xdr:to>
    <xdr:pic>
      <xdr:nvPicPr>
        <xdr:cNvPr id="13" name="Imagem 12">
          <a:extLst>
            <a:ext uri="{FF2B5EF4-FFF2-40B4-BE49-F238E27FC236}">
              <a16:creationId xmlns:a16="http://schemas.microsoft.com/office/drawing/2014/main" id="{4A255159-DBF7-7928-4D33-97EBDFE7D7B1}"/>
            </a:ext>
            <a:ext uri="{147F2762-F138-4A5C-976F-8EAC2B608ADB}">
              <a16:predDERef xmlns:a16="http://schemas.microsoft.com/office/drawing/2014/main" pred="{59D8F3AA-498B-9A67-59D1-FAA62D1A3786}"/>
            </a:ext>
          </a:extLst>
        </xdr:cNvPr>
        <xdr:cNvPicPr>
          <a:picLocks noChangeAspect="1"/>
        </xdr:cNvPicPr>
      </xdr:nvPicPr>
      <xdr:blipFill>
        <a:blip xmlns:r="http://schemas.openxmlformats.org/officeDocument/2006/relationships" r:embed="rId4"/>
        <a:stretch>
          <a:fillRect/>
        </a:stretch>
      </xdr:blipFill>
      <xdr:spPr>
        <a:xfrm>
          <a:off x="3352800" y="1009650"/>
          <a:ext cx="847725" cy="1409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85725</xdr:colOff>
      <xdr:row>24</xdr:row>
      <xdr:rowOff>142875</xdr:rowOff>
    </xdr:from>
    <xdr:to>
      <xdr:col>21</xdr:col>
      <xdr:colOff>85725</xdr:colOff>
      <xdr:row>43</xdr:row>
      <xdr:rowOff>114300</xdr:rowOff>
    </xdr:to>
    <xdr:pic>
      <xdr:nvPicPr>
        <xdr:cNvPr id="3" name="Imagem 1" title="Imagem">
          <a:extLst>
            <a:ext uri="{FF2B5EF4-FFF2-40B4-BE49-F238E27FC236}">
              <a16:creationId xmlns:a16="http://schemas.microsoft.com/office/drawing/2014/main" id="{5C70DBEB-279E-46FA-9C9F-0F0803209C52}"/>
            </a:ext>
          </a:extLst>
        </xdr:cNvPr>
        <xdr:cNvPicPr preferRelativeResize="0"/>
      </xdr:nvPicPr>
      <xdr:blipFill>
        <a:blip xmlns:r="http://schemas.openxmlformats.org/officeDocument/2006/relationships" r:embed="rId1" cstate="print"/>
        <a:stretch>
          <a:fillRect/>
        </a:stretch>
      </xdr:blipFill>
      <xdr:spPr>
        <a:xfrm>
          <a:off x="14668500" y="4943475"/>
          <a:ext cx="5343525" cy="377190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ramos_mwealth_com_br/Documents/An&#225;lise%20Risco%20Banc&#225;rio%202026.xlsx" TargetMode="External"/><Relationship Id="rId2" Type="http://schemas.openxmlformats.org/officeDocument/2006/relationships/externalLinkPath" Target="https://mwealthconsultoria-my.sharepoint.com/personal/framos_mwealth_com_br/Documents/An&#225;lise%20Risco%20Banc&#225;rio%202026.xlsx" TargetMode="External"/><Relationship Id="rId1" Type="http://schemas.openxmlformats.org/officeDocument/2006/relationships/externalLinkPath" Target="/personal/framos_mwealth_com_br/Documents/An&#225;lise%20Risco%20Banc&#225;ri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xb8wFih0yvzvX2jiYLxicqm0wizNFLscLjfL0rg0AtVYtxP5KOQYAUwcPoZV8N" itemId="01FZQI4WVQJDGRIBKJEJG2WR6KJWD5BPUQ">
      <xxl21:absoluteUrl r:id="rId2"/>
      <xxl21:relativeUrl r:id="rId3"/>
    </xxl21:alternateUrls>
    <sheetNames>
      <sheetName val="NOTAS EMISSORES ATIVOS"/>
      <sheetName val="NOTAS TOTAIS"/>
      <sheetName val="Cópia de NOTAS TOTAIS"/>
      <sheetName val="Imobilizado"/>
      <sheetName val="Lucro Líquido"/>
      <sheetName val="Receita "/>
      <sheetName val="Basileia"/>
      <sheetName val="Score"/>
      <sheetName val="Dados - Resumo"/>
      <sheetName val="Dados - Demonstração de Resulta"/>
      <sheetName val="Base"/>
      <sheetName val="EMISSORES"/>
    </sheetNames>
    <sheetDataSet>
      <sheetData sheetId="0"/>
      <sheetData sheetId="1"/>
      <sheetData sheetId="2"/>
      <sheetData sheetId="3">
        <row r="2">
          <cell r="A2" t="str">
            <v>ITAU - PRUDENCIAL</v>
          </cell>
          <cell r="D2">
            <v>1</v>
          </cell>
        </row>
        <row r="3">
          <cell r="A3" t="str">
            <v>BB - PRUDENCIAL</v>
          </cell>
          <cell r="D3">
            <v>1</v>
          </cell>
        </row>
        <row r="4">
          <cell r="A4" t="str">
            <v>CAIXA ECONÔMICA FEDERAL - PRUDENCIAL</v>
          </cell>
          <cell r="D4">
            <v>1</v>
          </cell>
        </row>
        <row r="5">
          <cell r="A5" t="str">
            <v>BRADESCO - PRUDENCIAL</v>
          </cell>
          <cell r="D5">
            <v>1</v>
          </cell>
        </row>
        <row r="6">
          <cell r="A6" t="str">
            <v>SANTANDER - PRUDENCIAL</v>
          </cell>
          <cell r="D6">
            <v>1</v>
          </cell>
        </row>
        <row r="7">
          <cell r="A7" t="str">
            <v>BNDES - PRUDENCIAL</v>
          </cell>
          <cell r="D7">
            <v>1</v>
          </cell>
        </row>
        <row r="8">
          <cell r="A8" t="str">
            <v>BTG PACTUAL - PRUDENCIAL</v>
          </cell>
          <cell r="D8">
            <v>1</v>
          </cell>
        </row>
        <row r="9">
          <cell r="A9" t="str">
            <v>XP - PRUDENCIAL</v>
          </cell>
          <cell r="D9">
            <v>0.75</v>
          </cell>
        </row>
        <row r="10">
          <cell r="A10" t="str">
            <v>NU PAGAMENTOS - PRUDENCIAL</v>
          </cell>
          <cell r="D10">
            <v>1</v>
          </cell>
        </row>
        <row r="11">
          <cell r="A11" t="str">
            <v>SAFRA - PRUDENCIAL</v>
          </cell>
          <cell r="D11">
            <v>1</v>
          </cell>
        </row>
        <row r="12">
          <cell r="A12" t="str">
            <v>BCO COOPERATIVO SICREDI - PRUDENCIAL</v>
          </cell>
          <cell r="D12">
            <v>1</v>
          </cell>
        </row>
        <row r="13">
          <cell r="A13" t="str">
            <v>BANCO SICOOB - PRUDENCIAL</v>
          </cell>
          <cell r="D13">
            <v>1</v>
          </cell>
        </row>
        <row r="14">
          <cell r="A14" t="str">
            <v>CITIBANK - PRUDENCIAL</v>
          </cell>
          <cell r="D14">
            <v>1</v>
          </cell>
        </row>
        <row r="15">
          <cell r="A15" t="str">
            <v>BANRISUL - PRUDENCIAL</v>
          </cell>
          <cell r="D15">
            <v>1</v>
          </cell>
        </row>
        <row r="16">
          <cell r="A16" t="str">
            <v>VOTORANTIM - PRUDENCIAL</v>
          </cell>
          <cell r="D16">
            <v>1</v>
          </cell>
        </row>
        <row r="17">
          <cell r="A17" t="str">
            <v>BANCO C6 - PRUDENCIAL</v>
          </cell>
          <cell r="D17">
            <v>1</v>
          </cell>
        </row>
        <row r="18">
          <cell r="A18" t="str">
            <v>BCO DAYCOVAL S.A - PRUDENCIAL</v>
          </cell>
          <cell r="D18">
            <v>1</v>
          </cell>
        </row>
        <row r="19">
          <cell r="A19" t="str">
            <v>JP MORGAN CHASE - PRUDENCIAL</v>
          </cell>
          <cell r="D19">
            <v>1</v>
          </cell>
        </row>
        <row r="20">
          <cell r="A20" t="str">
            <v>INTER - PRUDENCIAL</v>
          </cell>
          <cell r="D20">
            <v>1</v>
          </cell>
        </row>
        <row r="21">
          <cell r="A21" t="str">
            <v>BRB - PRUDENCIAL</v>
          </cell>
          <cell r="D21">
            <v>1</v>
          </cell>
        </row>
        <row r="22">
          <cell r="A22" t="str">
            <v>BCO DO NORDESTE DO BRASIL S.A. - PRUDENCIAL</v>
          </cell>
          <cell r="D22">
            <v>1</v>
          </cell>
        </row>
        <row r="23">
          <cell r="A23" t="str">
            <v>PAGSEGURO - PRUDENCIAL</v>
          </cell>
          <cell r="D23">
            <v>1</v>
          </cell>
        </row>
        <row r="24">
          <cell r="A24" t="str">
            <v>ABC-BRASIL - PRUDENCIAL</v>
          </cell>
          <cell r="D24">
            <v>1</v>
          </cell>
        </row>
        <row r="25">
          <cell r="A25" t="str">
            <v>BCO DA AMAZONIA S.A. - PRUDENCIAL</v>
          </cell>
          <cell r="D25">
            <v>1</v>
          </cell>
        </row>
        <row r="26">
          <cell r="A26" t="str">
            <v>VOLKSWAGEN - PRUDENCIAL</v>
          </cell>
          <cell r="D26">
            <v>1</v>
          </cell>
        </row>
        <row r="27">
          <cell r="A27" t="str">
            <v>BCO RABOBANK INTL BRASIL S.A. - PRUDENCIAL</v>
          </cell>
          <cell r="D27">
            <v>1</v>
          </cell>
        </row>
        <row r="28">
          <cell r="A28" t="str">
            <v>STONE IP - PRUDENCIAL</v>
          </cell>
          <cell r="D28">
            <v>1</v>
          </cell>
        </row>
        <row r="29">
          <cell r="A29" t="str">
            <v>BMG - PRUDENCIAL</v>
          </cell>
          <cell r="D29">
            <v>1</v>
          </cell>
        </row>
        <row r="30">
          <cell r="A30" t="str">
            <v>BNP PARIBAS - PRUDENCIAL</v>
          </cell>
          <cell r="D30">
            <v>1</v>
          </cell>
        </row>
        <row r="31">
          <cell r="A31" t="str">
            <v>BOFA MERRILL LYNCH - PRUDENCIAL</v>
          </cell>
          <cell r="D31">
            <v>1</v>
          </cell>
        </row>
        <row r="32">
          <cell r="A32" t="str">
            <v>AGIBANK - PRUDENCIAL</v>
          </cell>
          <cell r="D32">
            <v>1</v>
          </cell>
        </row>
        <row r="33">
          <cell r="A33" t="str">
            <v>BANESTES - PRUDENCIAL</v>
          </cell>
          <cell r="D33">
            <v>1</v>
          </cell>
        </row>
        <row r="34">
          <cell r="A34" t="str">
            <v>PICPAY - PRUDENCIAL</v>
          </cell>
          <cell r="D34">
            <v>1</v>
          </cell>
        </row>
        <row r="35">
          <cell r="A35" t="str">
            <v>ORIGINAL - PRUDENCIAL</v>
          </cell>
          <cell r="D35">
            <v>1</v>
          </cell>
        </row>
        <row r="36">
          <cell r="A36" t="str">
            <v>GOLDMAN SACHS - PRUDENCIAL</v>
          </cell>
          <cell r="D36">
            <v>1</v>
          </cell>
        </row>
        <row r="37">
          <cell r="A37" t="str">
            <v>MERCANTIL DO BRASIL - PRUDENCIAL</v>
          </cell>
          <cell r="D37">
            <v>1</v>
          </cell>
        </row>
        <row r="38">
          <cell r="A38" t="str">
            <v>BOCOM - PRUDENCIAL</v>
          </cell>
          <cell r="D38">
            <v>1</v>
          </cell>
        </row>
        <row r="39">
          <cell r="A39" t="str">
            <v>BCO CLASSICO S.A. - PRUDENCIAL</v>
          </cell>
          <cell r="D39">
            <v>1</v>
          </cell>
        </row>
        <row r="40">
          <cell r="A40" t="str">
            <v>BD REGIONAL DO EXTREMO SUL - PRUDENCIAL</v>
          </cell>
          <cell r="D40">
            <v>1</v>
          </cell>
        </row>
        <row r="41">
          <cell r="A41" t="str">
            <v>BANCO CNH INDUSTRIAL CAPITAL S.A - PRUDENCIAL</v>
          </cell>
          <cell r="D41">
            <v>1</v>
          </cell>
        </row>
        <row r="42">
          <cell r="A42" t="str">
            <v>MORGAN STANLEY - PRUDENCIAL</v>
          </cell>
          <cell r="D42">
            <v>1</v>
          </cell>
        </row>
        <row r="43">
          <cell r="A43" t="str">
            <v>BANK OF CHINA (BRASIL) - PRUDENCIAL</v>
          </cell>
          <cell r="D43">
            <v>1</v>
          </cell>
        </row>
        <row r="44">
          <cell r="A44" t="str">
            <v>PORTO SEGURO - PRUDENCIAL</v>
          </cell>
          <cell r="D44">
            <v>1</v>
          </cell>
        </row>
        <row r="45">
          <cell r="A45" t="str">
            <v>BCO FIBRA S.A. - PRUDENCIAL</v>
          </cell>
          <cell r="D45">
            <v>1</v>
          </cell>
        </row>
        <row r="46">
          <cell r="A46" t="str">
            <v>BCO CSF S.A. - PRUDENCIAL</v>
          </cell>
          <cell r="D46">
            <v>1</v>
          </cell>
        </row>
        <row r="47">
          <cell r="A47" t="str">
            <v>STELLANTIS - PRUDENCIAL</v>
          </cell>
          <cell r="D47">
            <v>1</v>
          </cell>
        </row>
        <row r="48">
          <cell r="A48" t="str">
            <v>UBS (BRASIL) - PRUDENCIAL</v>
          </cell>
          <cell r="D48">
            <v>1</v>
          </cell>
        </row>
        <row r="49">
          <cell r="A49" t="str">
            <v>CREDIT AGRICOLE - PRUDENCIAL</v>
          </cell>
          <cell r="D49">
            <v>1</v>
          </cell>
        </row>
        <row r="50">
          <cell r="A50" t="str">
            <v>BCO DO EST. DO PA S.A. - PRUDENCIAL</v>
          </cell>
          <cell r="D50">
            <v>1</v>
          </cell>
        </row>
        <row r="51">
          <cell r="A51" t="str">
            <v>MERCEDES-BENZ - PRUDENCIAL</v>
          </cell>
          <cell r="D51">
            <v>1</v>
          </cell>
        </row>
        <row r="52">
          <cell r="A52" t="str">
            <v>SCOTIABANK BRASIL - PRUDENCIAL</v>
          </cell>
          <cell r="D52">
            <v>1</v>
          </cell>
        </row>
        <row r="53">
          <cell r="A53" t="str">
            <v>VOLVO - PRUDENCIAL</v>
          </cell>
          <cell r="D53">
            <v>1</v>
          </cell>
        </row>
        <row r="54">
          <cell r="A54" t="str">
            <v>SCANIA - PRUDENCIAL</v>
          </cell>
          <cell r="D54">
            <v>1</v>
          </cell>
        </row>
        <row r="55">
          <cell r="A55" t="str">
            <v>HONDA - PRUDENCIAL</v>
          </cell>
          <cell r="D55">
            <v>1</v>
          </cell>
        </row>
        <row r="56">
          <cell r="A56" t="str">
            <v>GM - PRUDENCIAL</v>
          </cell>
          <cell r="D56">
            <v>1</v>
          </cell>
        </row>
        <row r="57">
          <cell r="A57" t="str">
            <v>BR PARTNERS - PRUDENCIAL</v>
          </cell>
          <cell r="D57">
            <v>1</v>
          </cell>
        </row>
        <row r="58">
          <cell r="A58" t="str">
            <v>DEUTSCHE - PRUDENCIAL</v>
          </cell>
          <cell r="D58">
            <v>1</v>
          </cell>
        </row>
        <row r="59">
          <cell r="A59" t="str">
            <v>MIZUHO - PRUDENCIAL</v>
          </cell>
          <cell r="D59">
            <v>1</v>
          </cell>
        </row>
        <row r="60">
          <cell r="A60" t="str">
            <v>BCO DO EST. DE SE S.A. - PRUDENCIAL</v>
          </cell>
          <cell r="D60">
            <v>1</v>
          </cell>
        </row>
        <row r="61">
          <cell r="A61" t="str">
            <v>BCO DE LAGE LANDEN BRASIL S.A. - PRUDENCIAL</v>
          </cell>
          <cell r="D61">
            <v>1</v>
          </cell>
        </row>
        <row r="62">
          <cell r="A62" t="str">
            <v>BANCO HSBC - PRUDENCIAL</v>
          </cell>
          <cell r="D62">
            <v>1</v>
          </cell>
        </row>
        <row r="63">
          <cell r="A63" t="str">
            <v>BCO DES. DE MG S.A. - PRUDENCIAL</v>
          </cell>
          <cell r="D63">
            <v>1</v>
          </cell>
        </row>
        <row r="64">
          <cell r="A64" t="str">
            <v>BCO MUFG BRASIL S.A. - PRUDENCIAL</v>
          </cell>
          <cell r="D64">
            <v>1</v>
          </cell>
        </row>
        <row r="65">
          <cell r="A65" t="str">
            <v>BCO TOYOTA DO BRASIL S.A. - PRUDENCIAL</v>
          </cell>
          <cell r="D65">
            <v>1</v>
          </cell>
        </row>
        <row r="66">
          <cell r="A66" t="str">
            <v>PARANÁ BANCO - PRUDENCIAL</v>
          </cell>
          <cell r="D66">
            <v>1</v>
          </cell>
        </row>
        <row r="67">
          <cell r="A67" t="str">
            <v>BCO INBURSA S.A. - PRUDENCIAL</v>
          </cell>
          <cell r="D67">
            <v>1</v>
          </cell>
        </row>
        <row r="68">
          <cell r="A68" t="str">
            <v>APE POUPEX - PRUDENCIAL</v>
          </cell>
          <cell r="D68">
            <v>1</v>
          </cell>
        </row>
        <row r="69">
          <cell r="A69" t="str">
            <v>BCO SUMITOMO MITSUI BRASIL S.A. - PRUDENCIAL</v>
          </cell>
          <cell r="D69">
            <v>1</v>
          </cell>
        </row>
        <row r="70">
          <cell r="A70" t="str">
            <v>BANCO DIGIMAIS - PRUDENCIAL</v>
          </cell>
          <cell r="D70">
            <v>1</v>
          </cell>
        </row>
        <row r="71">
          <cell r="A71" t="str">
            <v>CREFISA S.A. CFI - PRUDENCIAL</v>
          </cell>
          <cell r="D71">
            <v>1</v>
          </cell>
        </row>
        <row r="72">
          <cell r="A72" t="str">
            <v>FACTA S.A. CFI - PRUDENCIAL</v>
          </cell>
          <cell r="D72">
            <v>1</v>
          </cell>
        </row>
        <row r="73">
          <cell r="A73" t="str">
            <v>SOCIETE GENERALE - PRUDENCIAL</v>
          </cell>
          <cell r="D73">
            <v>1</v>
          </cell>
        </row>
        <row r="74">
          <cell r="A74" t="str">
            <v>HAITONG - PRUDENCIAL</v>
          </cell>
          <cell r="D74">
            <v>1</v>
          </cell>
        </row>
        <row r="75">
          <cell r="A75" t="str">
            <v>BANCO PACCAR - PRUDENCIAL</v>
          </cell>
          <cell r="D75">
            <v>1</v>
          </cell>
        </row>
        <row r="76">
          <cell r="A76" t="str">
            <v>BS2 - PRUDENCIAL</v>
          </cell>
          <cell r="D76">
            <v>1</v>
          </cell>
        </row>
        <row r="77">
          <cell r="A77" t="str">
            <v>INDUSTRIAL DO BRASIL - PRUDENCIAL</v>
          </cell>
          <cell r="D77">
            <v>1</v>
          </cell>
        </row>
        <row r="78">
          <cell r="A78" t="str">
            <v>OMNI - PRUDENCIAL</v>
          </cell>
          <cell r="D78">
            <v>1</v>
          </cell>
        </row>
        <row r="79">
          <cell r="A79" t="str">
            <v>REALIZE CFI - PRUDENCIAL</v>
          </cell>
          <cell r="D79">
            <v>1</v>
          </cell>
        </row>
        <row r="80">
          <cell r="A80" t="str">
            <v>MIDWAY S.A. - SCFI - PRUDENCIAL</v>
          </cell>
          <cell r="D80">
            <v>1</v>
          </cell>
        </row>
        <row r="81">
          <cell r="A81" t="str">
            <v>BCO CATERPILLAR S.A. - PRUDENCIAL</v>
          </cell>
          <cell r="D81">
            <v>1</v>
          </cell>
        </row>
        <row r="82">
          <cell r="A82" t="str">
            <v>RODOBENS - PRUDENCIAL</v>
          </cell>
          <cell r="D82">
            <v>1</v>
          </cell>
        </row>
        <row r="83">
          <cell r="A83" t="str">
            <v>PEFISA S.A. - PRUDENCIAL</v>
          </cell>
          <cell r="D83">
            <v>1</v>
          </cell>
        </row>
        <row r="84">
          <cell r="A84" t="str">
            <v>NOVO BCO CONTINENTAL S.A. - BM - PRUDENCIAL</v>
          </cell>
          <cell r="D84">
            <v>1</v>
          </cell>
        </row>
        <row r="85">
          <cell r="A85" t="str">
            <v>RENDIMENTO - PRUDENCIAL</v>
          </cell>
          <cell r="D85">
            <v>1</v>
          </cell>
        </row>
        <row r="86">
          <cell r="A86" t="str">
            <v>DM FINANCEIRA CFI - PRUDENCIAL</v>
          </cell>
          <cell r="D86">
            <v>1</v>
          </cell>
        </row>
        <row r="87">
          <cell r="A87" t="str">
            <v>YAMAHA MOTOR - PRUDENCIAL</v>
          </cell>
          <cell r="D87">
            <v>1</v>
          </cell>
        </row>
        <row r="88">
          <cell r="A88" t="str">
            <v>AF DESENVOLVE SP S.A. - PRUDENCIAL</v>
          </cell>
          <cell r="D88">
            <v>1</v>
          </cell>
        </row>
        <row r="89">
          <cell r="A89" t="str">
            <v>BCO TRIANGULO S.A. - PRUDENCIAL</v>
          </cell>
          <cell r="D89">
            <v>1</v>
          </cell>
        </row>
        <row r="90">
          <cell r="A90" t="str">
            <v>INTESA SANPAOLO BRASIL S.A. - PRUDENCIAL</v>
          </cell>
          <cell r="D90">
            <v>1</v>
          </cell>
        </row>
        <row r="91">
          <cell r="A91" t="str">
            <v>GENIAL - PRUDENCIAL</v>
          </cell>
          <cell r="D91">
            <v>0.75</v>
          </cell>
        </row>
        <row r="92">
          <cell r="A92" t="str">
            <v>BCO LUSO BRASILEIRO S.A. - PRUDENCIAL</v>
          </cell>
          <cell r="D92">
            <v>1</v>
          </cell>
        </row>
        <row r="93">
          <cell r="A93" t="str">
            <v>AF PARANÁ - PRUDENCIAL</v>
          </cell>
          <cell r="D93">
            <v>1</v>
          </cell>
        </row>
        <row r="94">
          <cell r="A94" t="str">
            <v>BMW - PRUDENCIAL</v>
          </cell>
          <cell r="D94">
            <v>1</v>
          </cell>
        </row>
        <row r="95">
          <cell r="A95" t="str">
            <v>QI SCD - PRUDENCIAL</v>
          </cell>
          <cell r="D95">
            <v>1</v>
          </cell>
        </row>
        <row r="96">
          <cell r="A96" t="str">
            <v>BADESUL DESENVOLVIMENTO AF/RS - PRUDENCIAL</v>
          </cell>
          <cell r="D96">
            <v>1</v>
          </cell>
        </row>
        <row r="97">
          <cell r="A97" t="str">
            <v>BCO CARGILL S.A. - PRUDENCIAL</v>
          </cell>
          <cell r="D97">
            <v>1</v>
          </cell>
        </row>
        <row r="98">
          <cell r="A98" t="str">
            <v>BMP SCMEPP LTDA - PRUDENCIAL</v>
          </cell>
          <cell r="D98">
            <v>1</v>
          </cell>
        </row>
        <row r="99">
          <cell r="A99" t="str">
            <v>RANDON - PRUDENCIAL</v>
          </cell>
          <cell r="D99">
            <v>1</v>
          </cell>
        </row>
        <row r="100">
          <cell r="A100" t="str">
            <v>BCO KDB BRASIL S.A. - PRUDENCIAL</v>
          </cell>
          <cell r="D100">
            <v>1</v>
          </cell>
        </row>
        <row r="101">
          <cell r="A101" t="str">
            <v>ANDBANK - PRUDENCIAL</v>
          </cell>
          <cell r="D101">
            <v>1</v>
          </cell>
        </row>
        <row r="102">
          <cell r="A102" t="str">
            <v>BCO ABN AMRO CLEARING - PRUDENCIAL</v>
          </cell>
          <cell r="D102">
            <v>1</v>
          </cell>
        </row>
        <row r="103">
          <cell r="A103" t="str">
            <v>PAYPAL DO BRASIL IP - PRUDENCIAL</v>
          </cell>
          <cell r="D103">
            <v>1</v>
          </cell>
        </row>
        <row r="104">
          <cell r="A104" t="str">
            <v>OURIBANK - PRUDENCIAL</v>
          </cell>
          <cell r="D104">
            <v>1</v>
          </cell>
        </row>
        <row r="105">
          <cell r="A105" t="str">
            <v>CORA SCFI - PRUDENCIAL</v>
          </cell>
          <cell r="D105">
            <v>1</v>
          </cell>
        </row>
        <row r="106">
          <cell r="A106" t="str">
            <v>BBC S.A. - PRUDENCIAL</v>
          </cell>
          <cell r="D106">
            <v>1</v>
          </cell>
        </row>
        <row r="107">
          <cell r="A107" t="str">
            <v>BANCO TOPÁZIO S.A. - PRUDENCIAL</v>
          </cell>
          <cell r="D107">
            <v>1</v>
          </cell>
        </row>
        <row r="108">
          <cell r="A108" t="str">
            <v>BANCO IBM S.A. - PRUDENCIAL</v>
          </cell>
          <cell r="D108">
            <v>1</v>
          </cell>
        </row>
        <row r="109">
          <cell r="A109" t="str">
            <v>BCO GUANABARA S.A. - PRUDENCIAL</v>
          </cell>
          <cell r="D109">
            <v>1</v>
          </cell>
        </row>
        <row r="110">
          <cell r="A110" t="str">
            <v>BCO DES. DO ES S.A. - PRUDENCIAL</v>
          </cell>
          <cell r="D110">
            <v>1</v>
          </cell>
        </row>
        <row r="111">
          <cell r="A111" t="str">
            <v>BANCO BARI DE INVESTIMENTO E FINANCI. - PRUDENCIAL</v>
          </cell>
          <cell r="D111">
            <v>1</v>
          </cell>
        </row>
        <row r="112">
          <cell r="A112" t="str">
            <v>BANCO RIBEIRÃO PRETO - PRUDENCIAL</v>
          </cell>
          <cell r="D112">
            <v>1</v>
          </cell>
        </row>
        <row r="113">
          <cell r="A113" t="str">
            <v>CAIXA GERAL - PRUDENCIAL</v>
          </cell>
          <cell r="D113">
            <v>1</v>
          </cell>
        </row>
        <row r="114">
          <cell r="A114" t="str">
            <v>LEASEPLAN AM S.A. - PRUDENCIAL</v>
          </cell>
          <cell r="D114">
            <v>1</v>
          </cell>
        </row>
        <row r="115">
          <cell r="A115" t="str">
            <v>HP FINANCIAL SERVICES AM S.A - PRUDENCIAL</v>
          </cell>
          <cell r="D115">
            <v>1</v>
          </cell>
        </row>
        <row r="116">
          <cell r="A116" t="str">
            <v>QISTA S.A. CFI - PRUDENCIAL</v>
          </cell>
          <cell r="D116">
            <v>1</v>
          </cell>
        </row>
        <row r="117">
          <cell r="A117" t="str">
            <v>AF DO ESTADO DE SC S.A. - PRUDENCIAL</v>
          </cell>
          <cell r="D117">
            <v>1</v>
          </cell>
        </row>
        <row r="118">
          <cell r="A118" t="str">
            <v>BANCO PAULISTA - PRUDENCIAL</v>
          </cell>
          <cell r="D118">
            <v>1</v>
          </cell>
        </row>
        <row r="119">
          <cell r="A119" t="str">
            <v>BNY MELLON - PRUDENCIAL</v>
          </cell>
          <cell r="D119">
            <v>1</v>
          </cell>
        </row>
        <row r="120">
          <cell r="A120" t="str">
            <v>STATE STREET BRASIL - PRUDENCIAL</v>
          </cell>
          <cell r="D120">
            <v>1</v>
          </cell>
        </row>
        <row r="121">
          <cell r="A121" t="str">
            <v>BCO KEB DO BRASIL SA - PRUDENCIAL</v>
          </cell>
          <cell r="D121">
            <v>1</v>
          </cell>
        </row>
        <row r="122">
          <cell r="A122" t="str">
            <v>BANCO MONEO S.A. - PRUDENCIAL</v>
          </cell>
          <cell r="D122">
            <v>1</v>
          </cell>
        </row>
        <row r="123">
          <cell r="A123" t="str">
            <v>CHG-MERIDIAN DO BRASIL AM S.A. - PRUDENCIAL</v>
          </cell>
          <cell r="D123">
            <v>1</v>
          </cell>
        </row>
        <row r="124">
          <cell r="A124" t="str">
            <v>ICBC DO BRASIL BM S.A. - PRUDENCIAL</v>
          </cell>
          <cell r="D124">
            <v>1</v>
          </cell>
        </row>
        <row r="125">
          <cell r="A125" t="str">
            <v>BANCO KOMATSU DO BRASIL - PRUDENCIAL</v>
          </cell>
          <cell r="D125">
            <v>1</v>
          </cell>
        </row>
        <row r="126">
          <cell r="A126" t="str">
            <v>BBVA BRASIL BI S.A. - PRUDENCIAL</v>
          </cell>
          <cell r="D126">
            <v>1</v>
          </cell>
        </row>
        <row r="127">
          <cell r="A127" t="str">
            <v>BCO ARBI S.A. - PRUDENCIAL</v>
          </cell>
          <cell r="D127">
            <v>1</v>
          </cell>
        </row>
        <row r="128">
          <cell r="A128" t="str">
            <v>STARA FINANCEIRA S.A. - CFI - PRUDENCIAL</v>
          </cell>
          <cell r="D128">
            <v>1</v>
          </cell>
        </row>
        <row r="129">
          <cell r="A129" t="str">
            <v>CARUANA SCFI - PRUDENCIAL</v>
          </cell>
          <cell r="D129">
            <v>1</v>
          </cell>
        </row>
        <row r="130">
          <cell r="A130" t="str">
            <v>BANCO SEMEAR - PRUDENCIAL</v>
          </cell>
          <cell r="D130">
            <v>1</v>
          </cell>
        </row>
        <row r="131">
          <cell r="A131" t="str">
            <v>NATURA &amp;CO PAY SCD</v>
          </cell>
          <cell r="D131">
            <v>1</v>
          </cell>
        </row>
        <row r="132">
          <cell r="A132" t="str">
            <v>STARK SCD - PRUDENCIAL</v>
          </cell>
          <cell r="D132">
            <v>1</v>
          </cell>
        </row>
        <row r="133">
          <cell r="A133" t="str">
            <v>BANCO B3 - PRUDENCIAL</v>
          </cell>
          <cell r="D133">
            <v>1</v>
          </cell>
        </row>
        <row r="134">
          <cell r="A134" t="str">
            <v>BPCE EQUIPMENT AM - PRUDENCIAL</v>
          </cell>
          <cell r="D134">
            <v>1</v>
          </cell>
        </row>
        <row r="135">
          <cell r="A135" t="str">
            <v>FATOR - PRUDENCIAL</v>
          </cell>
          <cell r="D135">
            <v>1</v>
          </cell>
        </row>
        <row r="136">
          <cell r="A136" t="str">
            <v>BCO WOORI BANK DO BRASIL S.A. - PRUDENCIAL</v>
          </cell>
          <cell r="D136">
            <v>1</v>
          </cell>
        </row>
        <row r="137">
          <cell r="A137" t="str">
            <v>CSILATINA A.M. S.A. - PRUDENCIAL</v>
          </cell>
          <cell r="D137">
            <v>1</v>
          </cell>
        </row>
        <row r="138">
          <cell r="A138" t="str">
            <v>BANCO TRAVELEX - PRUDENCIAL</v>
          </cell>
          <cell r="D138">
            <v>1</v>
          </cell>
        </row>
        <row r="139">
          <cell r="A139" t="str">
            <v>BANCO XCMG BRASIL - PRUDENCIAL</v>
          </cell>
          <cell r="D139">
            <v>1</v>
          </cell>
        </row>
        <row r="140">
          <cell r="A140" t="str">
            <v>AGROLEND SCFI - PRUDENCIAL</v>
          </cell>
          <cell r="D140">
            <v>1</v>
          </cell>
        </row>
        <row r="141">
          <cell r="A141" t="str">
            <v>ZEMA CFI - PRUDENCIAL</v>
          </cell>
          <cell r="D141">
            <v>1</v>
          </cell>
        </row>
        <row r="142">
          <cell r="A142" t="str">
            <v>LEBES FINANCEIRA S.A. - CFI - PRUDENCIAL</v>
          </cell>
          <cell r="D142">
            <v>1</v>
          </cell>
        </row>
        <row r="143">
          <cell r="A143" t="str">
            <v>CREDIARE CFI - PRUDENCIAL</v>
          </cell>
          <cell r="D143">
            <v>1</v>
          </cell>
        </row>
        <row r="144">
          <cell r="A144" t="str">
            <v>AGENCIA FOMENTO EST RJ S.A. - PRUDENCIAL</v>
          </cell>
          <cell r="D144">
            <v>1</v>
          </cell>
        </row>
        <row r="145">
          <cell r="A145" t="str">
            <v>BCO TRICURY S.A. - PRUDENCIAL</v>
          </cell>
          <cell r="D145">
            <v>1</v>
          </cell>
        </row>
        <row r="146">
          <cell r="A146" t="str">
            <v>VR - PRUDENCIAL</v>
          </cell>
          <cell r="D146">
            <v>1</v>
          </cell>
        </row>
        <row r="147">
          <cell r="A147" t="str">
            <v>VIA CERTA CFI - PRUDENCIAL</v>
          </cell>
          <cell r="D147">
            <v>1</v>
          </cell>
        </row>
        <row r="148">
          <cell r="A148" t="str">
            <v>SUPERLÓGICA SCD PRUDENCIAL</v>
          </cell>
          <cell r="D148">
            <v>1</v>
          </cell>
        </row>
        <row r="149">
          <cell r="A149" t="str">
            <v>SOCINAL S.A. CFI - PRUDENCIAL</v>
          </cell>
          <cell r="D149">
            <v>1</v>
          </cell>
        </row>
        <row r="150">
          <cell r="A150" t="str">
            <v>KREDILIG S.A. - CFI - PRUDENCIAL</v>
          </cell>
          <cell r="D150">
            <v>1</v>
          </cell>
        </row>
        <row r="151">
          <cell r="A151" t="str">
            <v>GAZINCRED SCFI - PRUDENCIAL</v>
          </cell>
          <cell r="D151">
            <v>1</v>
          </cell>
        </row>
        <row r="152">
          <cell r="A152" t="str">
            <v>NEGRESCO S.A. - CFI - PRUDENCIAL</v>
          </cell>
          <cell r="D152">
            <v>1</v>
          </cell>
        </row>
        <row r="153">
          <cell r="A153" t="str">
            <v>FINAMAX S.A. CFI - PRUDENCIAL</v>
          </cell>
          <cell r="D153">
            <v>1</v>
          </cell>
        </row>
        <row r="154">
          <cell r="A154" t="str">
            <v>TENTOS CFI - PRUDENCIAL</v>
          </cell>
          <cell r="D154">
            <v>1</v>
          </cell>
        </row>
        <row r="155">
          <cell r="A155" t="str">
            <v>BGC LIQUIDEZ DTVM LTDA - PRUDENCIAL</v>
          </cell>
          <cell r="D155">
            <v>1</v>
          </cell>
        </row>
        <row r="156">
          <cell r="A156" t="str">
            <v>SANTINVEST - PRUDENCIAL</v>
          </cell>
          <cell r="D156">
            <v>1</v>
          </cell>
        </row>
        <row r="157">
          <cell r="A157" t="str">
            <v>OXY CH - PRUDENCIAL</v>
          </cell>
          <cell r="D157">
            <v>1</v>
          </cell>
        </row>
        <row r="158">
          <cell r="A158" t="str">
            <v>LAUNCH PAD SCD - PRUDENCIAL</v>
          </cell>
          <cell r="D158">
            <v>1</v>
          </cell>
        </row>
        <row r="159">
          <cell r="A159" t="str">
            <v>OPEA SCD - PRUDENCIAL</v>
          </cell>
          <cell r="D159">
            <v>1</v>
          </cell>
        </row>
        <row r="160">
          <cell r="A160" t="str">
            <v>WESTERN UNION - PRUDENCIAL</v>
          </cell>
          <cell r="D160">
            <v>1</v>
          </cell>
        </row>
        <row r="161">
          <cell r="A161" t="str">
            <v>BRAZA BANK BCO CÂMBIO - PRUDENCIAL</v>
          </cell>
          <cell r="D161">
            <v>1</v>
          </cell>
        </row>
        <row r="162">
          <cell r="A162" t="str">
            <v>AFEAM - PRUDENCIAL</v>
          </cell>
          <cell r="D162">
            <v>1</v>
          </cell>
        </row>
        <row r="163">
          <cell r="A163" t="str">
            <v>DELCRED SCD - PRUDENCIAL</v>
          </cell>
          <cell r="D163">
            <v>1</v>
          </cell>
        </row>
        <row r="164">
          <cell r="A164" t="str">
            <v>SINOSSERRA FINANCEIRA S/A - PRUDENCIAL</v>
          </cell>
          <cell r="D164">
            <v>1</v>
          </cell>
        </row>
        <row r="165">
          <cell r="A165" t="str">
            <v>EBURY BANCO DE CÂMBIO - PRUDENCIAL</v>
          </cell>
          <cell r="D165">
            <v>1</v>
          </cell>
        </row>
        <row r="166">
          <cell r="A166" t="str">
            <v>AGÊNCIA DE FOMENTO MATO GROSSO - PRUDENCIAL</v>
          </cell>
          <cell r="D166">
            <v>1</v>
          </cell>
        </row>
        <row r="167">
          <cell r="A167" t="str">
            <v>CARTOS SCD - PRUDENCIAL</v>
          </cell>
          <cell r="D167">
            <v>1</v>
          </cell>
        </row>
        <row r="168">
          <cell r="A168" t="str">
            <v>EAGLE SCD - PRUDENCIAL</v>
          </cell>
          <cell r="D168">
            <v>1</v>
          </cell>
        </row>
        <row r="169">
          <cell r="A169" t="str">
            <v>C&amp;A PAY SCD - PRUDENCIAL</v>
          </cell>
          <cell r="D169">
            <v>1</v>
          </cell>
        </row>
        <row r="170">
          <cell r="A170" t="str">
            <v>URBANO SCFI - PRUDENCIAL</v>
          </cell>
          <cell r="D170">
            <v>1</v>
          </cell>
        </row>
        <row r="171">
          <cell r="A171" t="str">
            <v>ASA SCD - PRUDENCIAL</v>
          </cell>
          <cell r="D171">
            <v>1</v>
          </cell>
        </row>
        <row r="172">
          <cell r="A172" t="str">
            <v>BCO LA PROVINCIA B AIRES BCE - PRUDENCIAL</v>
          </cell>
          <cell r="D172">
            <v>1</v>
          </cell>
        </row>
        <row r="173">
          <cell r="A173" t="str">
            <v>PLANTAE CFI - PRUDENCIAL</v>
          </cell>
          <cell r="D173">
            <v>1</v>
          </cell>
        </row>
        <row r="174">
          <cell r="A174" t="str">
            <v>BCO LA NACION ARGENTINA - PRUDENCIAL</v>
          </cell>
          <cell r="D174">
            <v>1</v>
          </cell>
        </row>
        <row r="175">
          <cell r="A175" t="str">
            <v>PIAUÍ FOMENTO - PRUDENCIAL</v>
          </cell>
          <cell r="D175">
            <v>1</v>
          </cell>
        </row>
        <row r="176">
          <cell r="A176" t="str">
            <v>CREDITÁ S.A. CFI - PRUDENCIAL</v>
          </cell>
          <cell r="D176">
            <v>1</v>
          </cell>
        </row>
        <row r="177">
          <cell r="A177" t="str">
            <v>LECCA - PRUDENCIAL</v>
          </cell>
          <cell r="D177">
            <v>1</v>
          </cell>
        </row>
        <row r="178">
          <cell r="A178" t="str">
            <v>ATRIA S.A. - CFI - PRUDENCIAL</v>
          </cell>
          <cell r="D178">
            <v>1</v>
          </cell>
        </row>
        <row r="179">
          <cell r="A179" t="str">
            <v>JBCRED S.A. SCFI - PRUDENCIAL</v>
          </cell>
          <cell r="D179">
            <v>1</v>
          </cell>
        </row>
        <row r="180">
          <cell r="A180" t="str">
            <v>BANCO RNX S.A. - PRUDENCIAL</v>
          </cell>
          <cell r="D180">
            <v>1</v>
          </cell>
        </row>
        <row r="181">
          <cell r="A181" t="str">
            <v>REVOLUT SCD - PRUDENCIAL</v>
          </cell>
          <cell r="D181">
            <v>1</v>
          </cell>
        </row>
        <row r="182">
          <cell r="A182" t="str">
            <v>GRAZZIOTIN FINANCEIRA - PRUDENCIAL</v>
          </cell>
          <cell r="D182">
            <v>1</v>
          </cell>
        </row>
        <row r="183">
          <cell r="A183" t="str">
            <v>BCO CEDULA S.A. - PRUDENCIAL</v>
          </cell>
          <cell r="D183">
            <v>1</v>
          </cell>
        </row>
        <row r="184">
          <cell r="A184" t="str">
            <v>BCO INDUSCRED DE INVESTIM. S/A - PRUDENCIAL</v>
          </cell>
          <cell r="D184">
            <v>1</v>
          </cell>
        </row>
        <row r="185">
          <cell r="A185" t="str">
            <v>KANASTRA FINANCEIRA CFI - PRUDENCIAL</v>
          </cell>
          <cell r="D185">
            <v>1</v>
          </cell>
        </row>
        <row r="186">
          <cell r="A186" t="str">
            <v>ACCREDITO SCD - PRUDENCIAL</v>
          </cell>
          <cell r="D186">
            <v>1</v>
          </cell>
        </row>
        <row r="187">
          <cell r="A187" t="str">
            <v>FIDUCIA SCMEPP LTDA - PRUDENCIAL</v>
          </cell>
          <cell r="D187">
            <v>1</v>
          </cell>
        </row>
        <row r="188">
          <cell r="A188" t="str">
            <v>AF ESTADO DE PERNAMBUCO S.A. - PRUDENCIAL</v>
          </cell>
          <cell r="D188">
            <v>1</v>
          </cell>
        </row>
        <row r="189">
          <cell r="A189" t="str">
            <v>Z-ON SCD - PRUDENCIAL</v>
          </cell>
          <cell r="D189">
            <v>1</v>
          </cell>
        </row>
        <row r="190">
          <cell r="A190" t="str">
            <v>DIRECAO S.A. CFI - PRUDENCIAL</v>
          </cell>
          <cell r="D190">
            <v>1</v>
          </cell>
        </row>
        <row r="191">
          <cell r="A191" t="str">
            <v>AG. FOMENTO ESTADO DO TOCANTINS - PRUDENCIAL</v>
          </cell>
          <cell r="D191">
            <v>1</v>
          </cell>
        </row>
        <row r="192">
          <cell r="A192" t="str">
            <v>CREDITAS SCD - PRUDENCIAL</v>
          </cell>
          <cell r="D192">
            <v>1</v>
          </cell>
        </row>
        <row r="193">
          <cell r="A193" t="str">
            <v>UY3 SCD - PRUDENCIAL</v>
          </cell>
          <cell r="D193">
            <v>1</v>
          </cell>
        </row>
        <row r="194">
          <cell r="A194" t="str">
            <v>ARTTA SCD PRUDENCIAL</v>
          </cell>
          <cell r="D194">
            <v>1</v>
          </cell>
        </row>
        <row r="195">
          <cell r="A195" t="str">
            <v>ECONOMIA CI S.A.-ECONOMISA - PRUDENCIAL</v>
          </cell>
          <cell r="D195">
            <v>1</v>
          </cell>
        </row>
        <row r="196">
          <cell r="A196" t="str">
            <v>MOVA SEP - PRUDENCIAL</v>
          </cell>
          <cell r="D196">
            <v>0.5</v>
          </cell>
        </row>
        <row r="197">
          <cell r="A197" t="str">
            <v>MONEYCORP - PRUDENCIAL</v>
          </cell>
          <cell r="D197">
            <v>1</v>
          </cell>
        </row>
        <row r="198">
          <cell r="A198" t="str">
            <v>CREFAZ SCMEPP - PRUDENCIAL</v>
          </cell>
          <cell r="D198">
            <v>1</v>
          </cell>
        </row>
        <row r="199">
          <cell r="A199" t="str">
            <v>SOMAPAY SCD - PRUDENCIAL</v>
          </cell>
          <cell r="D199">
            <v>0.5</v>
          </cell>
        </row>
        <row r="200">
          <cell r="A200" t="str">
            <v>AFAL - PRUDENCIAL</v>
          </cell>
          <cell r="D200">
            <v>1</v>
          </cell>
        </row>
        <row r="201">
          <cell r="A201" t="str">
            <v>INTEX BANK BCO CÂMBIO - PRUDENCIAL</v>
          </cell>
          <cell r="D201">
            <v>1</v>
          </cell>
        </row>
        <row r="202">
          <cell r="A202" t="str">
            <v>VALOR CFI - PRUDENCIAL</v>
          </cell>
          <cell r="D202">
            <v>1</v>
          </cell>
        </row>
        <row r="203">
          <cell r="A203" t="str">
            <v>CAPITAL CONSIG SCD - PRUDENCIAL</v>
          </cell>
          <cell r="D203">
            <v>1</v>
          </cell>
        </row>
        <row r="204">
          <cell r="A204" t="str">
            <v>MICROCASH SCMEPP - PRUDENCIAL</v>
          </cell>
          <cell r="D204">
            <v>1</v>
          </cell>
        </row>
        <row r="205">
          <cell r="A205" t="str">
            <v>DANK SCD - PRUDENCIAL</v>
          </cell>
          <cell r="D205">
            <v>1</v>
          </cell>
        </row>
        <row r="206">
          <cell r="A206" t="str">
            <v>TAMBASA SCD - PRUDENCIAL</v>
          </cell>
          <cell r="D206">
            <v>1</v>
          </cell>
        </row>
        <row r="207">
          <cell r="A207" t="str">
            <v>FINAXIS - PRUDENCIAL</v>
          </cell>
          <cell r="D207">
            <v>0.75</v>
          </cell>
        </row>
        <row r="208">
          <cell r="A208" t="str">
            <v>TTSCD SCD - PRUDENCIAL</v>
          </cell>
          <cell r="D208">
            <v>1</v>
          </cell>
        </row>
        <row r="209">
          <cell r="A209" t="str">
            <v>GOLCRED - PRUDENCIAL</v>
          </cell>
          <cell r="D209">
            <v>1</v>
          </cell>
        </row>
        <row r="210">
          <cell r="A210" t="str">
            <v>RED SCD - PRUDENCIAL</v>
          </cell>
          <cell r="D210">
            <v>1</v>
          </cell>
        </row>
        <row r="211">
          <cell r="A211" t="str">
            <v>PINTOS CFI - PRUDENCIAL</v>
          </cell>
          <cell r="D211">
            <v>1</v>
          </cell>
        </row>
        <row r="212">
          <cell r="A212" t="str">
            <v>COMPREV CFI - PRUDENCIAL</v>
          </cell>
          <cell r="D212">
            <v>1</v>
          </cell>
        </row>
        <row r="213">
          <cell r="A213" t="str">
            <v>BANCO PORTO REAL DE INVEST.S.A - PRUDENCIAL</v>
          </cell>
          <cell r="D213">
            <v>1</v>
          </cell>
        </row>
        <row r="214">
          <cell r="A214" t="str">
            <v>BIGCASH SCD - PRUDENCIAL</v>
          </cell>
          <cell r="D214">
            <v>1</v>
          </cell>
        </row>
        <row r="215">
          <cell r="A215" t="str">
            <v>J17 SCD - PRUDENCIAL</v>
          </cell>
          <cell r="D215">
            <v>1</v>
          </cell>
        </row>
        <row r="216">
          <cell r="A216" t="str">
            <v>SER FINANCE SCD - PRUDENCIAL</v>
          </cell>
          <cell r="D216">
            <v>1</v>
          </cell>
        </row>
        <row r="217">
          <cell r="A217" t="str">
            <v>COBANSA CH S.A. - PRUDENCIAL</v>
          </cell>
          <cell r="D217">
            <v>1</v>
          </cell>
        </row>
        <row r="218">
          <cell r="A218" t="str">
            <v>ASPECIR SCMEPP LTDA. - PRUDENCIAL</v>
          </cell>
          <cell r="D218">
            <v>1</v>
          </cell>
        </row>
        <row r="219">
          <cell r="A219" t="str">
            <v>CDC SCD - PRUDENCIAL</v>
          </cell>
          <cell r="D219">
            <v>1</v>
          </cell>
        </row>
        <row r="220">
          <cell r="A220" t="str">
            <v>BNK DIGITAL SCD - PRUDENCIAL</v>
          </cell>
          <cell r="D220">
            <v>1</v>
          </cell>
        </row>
        <row r="221">
          <cell r="A221" t="str">
            <v>AG. FOMENTO ESTADO DE RORAIMA - PRUDENCIAL</v>
          </cell>
          <cell r="D221">
            <v>1</v>
          </cell>
        </row>
        <row r="222">
          <cell r="A222" t="str">
            <v>VIA CAPITAL SCD - PRUDENCIAL</v>
          </cell>
          <cell r="D222">
            <v>1</v>
          </cell>
        </row>
        <row r="223">
          <cell r="A223" t="str">
            <v>SOCIAL BANK BANCO MULTIPLO - PRUDENCIAL</v>
          </cell>
          <cell r="D223">
            <v>1</v>
          </cell>
        </row>
        <row r="224">
          <cell r="A224" t="str">
            <v>UNAVANTI SCD - PRUDENCIAL</v>
          </cell>
          <cell r="D224">
            <v>1</v>
          </cell>
        </row>
        <row r="225">
          <cell r="A225" t="str">
            <v>BONUSPAGO SCD - PRUDENCIAL</v>
          </cell>
          <cell r="D225">
            <v>1</v>
          </cell>
        </row>
        <row r="226">
          <cell r="A226" t="str">
            <v>FAMILIA PAULISTA CI S.A. - PRUDENCIAL</v>
          </cell>
          <cell r="D226">
            <v>1</v>
          </cell>
        </row>
        <row r="227">
          <cell r="A227" t="str">
            <v>LISTO SCD - PRUDENCIAL</v>
          </cell>
          <cell r="D227">
            <v>1</v>
          </cell>
        </row>
        <row r="228">
          <cell r="A228" t="str">
            <v>LEND SCD - PRUDENCIAL</v>
          </cell>
          <cell r="D228">
            <v>1</v>
          </cell>
        </row>
        <row r="229">
          <cell r="A229" t="str">
            <v>SOLFÁCIL SCFI - PRUDENCIAL</v>
          </cell>
          <cell r="D229">
            <v>1</v>
          </cell>
        </row>
        <row r="230">
          <cell r="A230" t="str">
            <v>QUADRA SCD - PRUDENCIAL</v>
          </cell>
          <cell r="D230">
            <v>1</v>
          </cell>
        </row>
        <row r="231">
          <cell r="A231" t="str">
            <v>SUDACRED SCD - PRUDENCIAL</v>
          </cell>
          <cell r="D231">
            <v>1</v>
          </cell>
        </row>
        <row r="232">
          <cell r="A232" t="str">
            <v>MONETARIE SCD - PRUDENCIAL</v>
          </cell>
          <cell r="D232">
            <v>1</v>
          </cell>
        </row>
        <row r="233">
          <cell r="A233" t="str">
            <v>ATF SCD - PRUDENCIAL</v>
          </cell>
          <cell r="D233">
            <v>1</v>
          </cell>
        </row>
        <row r="234">
          <cell r="A234" t="str">
            <v>G5 SCD - PRUDENCIAL</v>
          </cell>
          <cell r="D234">
            <v>1</v>
          </cell>
        </row>
        <row r="235">
          <cell r="A235" t="str">
            <v>ONCRED SCD - PRUDENCIAL</v>
          </cell>
          <cell r="D235">
            <v>1</v>
          </cell>
        </row>
        <row r="236">
          <cell r="A236" t="str">
            <v>ZM SCD PRUDENCIAL</v>
          </cell>
          <cell r="D236">
            <v>1</v>
          </cell>
        </row>
        <row r="237">
          <cell r="A237" t="str">
            <v>GALLERIA SCD - PRUDENCIAL</v>
          </cell>
          <cell r="D237">
            <v>1</v>
          </cell>
        </row>
        <row r="238">
          <cell r="A238" t="str">
            <v>BARU SCD - PRUDENCIAL</v>
          </cell>
          <cell r="D238">
            <v>1</v>
          </cell>
        </row>
        <row r="239">
          <cell r="A239" t="str">
            <v>MAGNUM SCD - PRUDENCIAL</v>
          </cell>
          <cell r="D239">
            <v>1</v>
          </cell>
        </row>
        <row r="240">
          <cell r="A240" t="str">
            <v>DAUX SCD - PRUDENCIAL</v>
          </cell>
          <cell r="D240">
            <v>1</v>
          </cell>
        </row>
        <row r="241">
          <cell r="A241" t="str">
            <v>SOCIALCRED S/A SCMEPP - PRUDENCIAL</v>
          </cell>
          <cell r="D241">
            <v>1</v>
          </cell>
        </row>
        <row r="242">
          <cell r="A242" t="str">
            <v>HSCM SCMEPP LTDA. - PRUDENCIAL</v>
          </cell>
          <cell r="D242">
            <v>1</v>
          </cell>
        </row>
        <row r="243">
          <cell r="A243" t="str">
            <v>CREDIFIT SCD - PRUDENCIAL</v>
          </cell>
          <cell r="D243">
            <v>1</v>
          </cell>
        </row>
        <row r="244">
          <cell r="A244" t="str">
            <v>MULTICRED SCD - PRUDENCIAL</v>
          </cell>
          <cell r="D244">
            <v>1</v>
          </cell>
        </row>
        <row r="245">
          <cell r="A245" t="str">
            <v>SCB CRÉDITO SCMEPP - PRUDENCIAL</v>
          </cell>
          <cell r="D245">
            <v>1</v>
          </cell>
        </row>
        <row r="246">
          <cell r="A246" t="str">
            <v>DUFRIO CFI - PRUDENCIAL</v>
          </cell>
          <cell r="D246">
            <v>1</v>
          </cell>
        </row>
        <row r="247">
          <cell r="A247" t="str">
            <v>GERU SCD - PRUDENCIAL</v>
          </cell>
          <cell r="D247">
            <v>1</v>
          </cell>
        </row>
        <row r="248">
          <cell r="A248" t="str">
            <v>RAPIDIUM SCMEPP - PRUDENCIAL</v>
          </cell>
          <cell r="D248">
            <v>1</v>
          </cell>
        </row>
        <row r="249">
          <cell r="A249" t="str">
            <v>UP.P SEP - PRUDENCIAL</v>
          </cell>
          <cell r="D249">
            <v>1</v>
          </cell>
        </row>
        <row r="250">
          <cell r="A250" t="str">
            <v>HR DIGITAL SCD - PRUDENCIAL</v>
          </cell>
          <cell r="D250">
            <v>1</v>
          </cell>
        </row>
        <row r="251">
          <cell r="A251" t="str">
            <v>INTEGRAÇÃO DE CRÉDITO E COBRANÇA SCD - PRUDENCIAL</v>
          </cell>
          <cell r="D251">
            <v>1</v>
          </cell>
        </row>
        <row r="252">
          <cell r="A252" t="str">
            <v>DGBK CREDIT SCD - PRUDENCIAL</v>
          </cell>
          <cell r="D252">
            <v>1</v>
          </cell>
        </row>
        <row r="253">
          <cell r="A253" t="str">
            <v>FONTECRED SCD - PRUDENCIAL</v>
          </cell>
          <cell r="D253">
            <v>0.75</v>
          </cell>
        </row>
        <row r="254">
          <cell r="A254" t="str">
            <v>VUON SCD - PRUDENCIAL</v>
          </cell>
          <cell r="D254">
            <v>1</v>
          </cell>
        </row>
        <row r="255">
          <cell r="A255" t="str">
            <v>N26 SCD - PRUDENCIAL</v>
          </cell>
          <cell r="D255">
            <v>1</v>
          </cell>
        </row>
        <row r="256">
          <cell r="A256" t="str">
            <v>DAPPER SCD - PRUDENCIAL</v>
          </cell>
          <cell r="D256">
            <v>1</v>
          </cell>
        </row>
        <row r="257">
          <cell r="A257" t="str">
            <v>PERCAPITAL SCD - PRUDENCIAL</v>
          </cell>
          <cell r="D257">
            <v>1</v>
          </cell>
        </row>
        <row r="258">
          <cell r="A258" t="str">
            <v>MOTTU SCD - PRUDENCIAL</v>
          </cell>
          <cell r="D258">
            <v>1</v>
          </cell>
        </row>
        <row r="259">
          <cell r="A259" t="str">
            <v>BANSUR JM SCD - PRUDENCIAL</v>
          </cell>
          <cell r="D259">
            <v>1</v>
          </cell>
        </row>
        <row r="260">
          <cell r="A260" t="str">
            <v>ATICCA SCD PRUDENCIAL</v>
          </cell>
          <cell r="D260">
            <v>1</v>
          </cell>
        </row>
        <row r="261">
          <cell r="A261" t="str">
            <v>BAMAQ CAPITAL SCD - PRUDENCIAL</v>
          </cell>
          <cell r="D261">
            <v>1</v>
          </cell>
        </row>
        <row r="262">
          <cell r="A262" t="str">
            <v>ZIPDIN SCD - PRUDENCIAL</v>
          </cell>
          <cell r="D262">
            <v>1</v>
          </cell>
        </row>
        <row r="263">
          <cell r="A263" t="str">
            <v>NUMBRS SCD - PRUDENCIAL</v>
          </cell>
          <cell r="D263">
            <v>1</v>
          </cell>
        </row>
        <row r="264">
          <cell r="A264" t="str">
            <v>PALMA SCD - PRUDENCIAL</v>
          </cell>
          <cell r="D264">
            <v>1</v>
          </cell>
        </row>
        <row r="265">
          <cell r="A265" t="str">
            <v>INCO SEP - PRUDENCIAL</v>
          </cell>
          <cell r="D265">
            <v>1</v>
          </cell>
        </row>
        <row r="266">
          <cell r="A266" t="str">
            <v>FATURACRED SCD - PRUDENCIAL</v>
          </cell>
          <cell r="D266">
            <v>1</v>
          </cell>
        </row>
        <row r="267">
          <cell r="A267" t="str">
            <v>PEAK SEP - PRUDENCIAL</v>
          </cell>
          <cell r="D267">
            <v>1</v>
          </cell>
        </row>
        <row r="268">
          <cell r="A268" t="str">
            <v>GLOBAL SCM LTDA - PRUDENCIAL</v>
          </cell>
          <cell r="D268">
            <v>1</v>
          </cell>
        </row>
        <row r="269">
          <cell r="A269" t="str">
            <v>VBS SCD - PRUDENCIAL</v>
          </cell>
          <cell r="D269">
            <v>1</v>
          </cell>
        </row>
        <row r="270">
          <cell r="A270" t="str">
            <v>SOCRED S.A. SCM - PRUDENCIAL</v>
          </cell>
          <cell r="D270">
            <v>1</v>
          </cell>
        </row>
        <row r="271">
          <cell r="A271" t="str">
            <v>SQUID SCD - PRUDENCIAL</v>
          </cell>
          <cell r="D271">
            <v>1</v>
          </cell>
        </row>
        <row r="272">
          <cell r="A272" t="str">
            <v>ALL IN CRED SCD - PRUDENCIAL</v>
          </cell>
          <cell r="D272">
            <v>1</v>
          </cell>
        </row>
        <row r="273">
          <cell r="A273" t="str">
            <v>CREDPAR SCD - PRUDENCIAL</v>
          </cell>
          <cell r="D273">
            <v>1</v>
          </cell>
        </row>
        <row r="274">
          <cell r="A274" t="str">
            <v>BRCONDOS SCD - PRUDENCIAL</v>
          </cell>
          <cell r="D274">
            <v>1</v>
          </cell>
        </row>
        <row r="275">
          <cell r="A275" t="str">
            <v>BFC SCD - PRUDENCIAL</v>
          </cell>
          <cell r="D275">
            <v>1</v>
          </cell>
        </row>
        <row r="276">
          <cell r="A276" t="str">
            <v>SETHI SCD - PRUDENCIAL</v>
          </cell>
          <cell r="D276">
            <v>1</v>
          </cell>
        </row>
        <row r="277">
          <cell r="A277" t="str">
            <v>HBI SCD - PRUDENCIAL</v>
          </cell>
          <cell r="D277">
            <v>1</v>
          </cell>
        </row>
        <row r="278">
          <cell r="A278" t="str">
            <v>E.SIGA SCD - PRUDENCIAL</v>
          </cell>
          <cell r="D278">
            <v>1</v>
          </cell>
        </row>
        <row r="279">
          <cell r="A279" t="str">
            <v>NAGRO SCD - PRUDENCIAL</v>
          </cell>
          <cell r="D279">
            <v>1</v>
          </cell>
        </row>
        <row r="280">
          <cell r="A280" t="str">
            <v>A55 SCD - PRUDENCIAL</v>
          </cell>
          <cell r="D280">
            <v>1</v>
          </cell>
        </row>
        <row r="281">
          <cell r="A281" t="str">
            <v>CASA CREDITO S.A. SCM - PRUDENCIAL</v>
          </cell>
          <cell r="D281">
            <v>1</v>
          </cell>
        </row>
        <row r="282">
          <cell r="A282" t="str">
            <v>NEXOOS SEP - PRUDENCIAL</v>
          </cell>
          <cell r="D282">
            <v>1</v>
          </cell>
        </row>
        <row r="283">
          <cell r="A283" t="str">
            <v>CREDBRASIL - SCMEPP LTDA - PRUDENCIAL</v>
          </cell>
          <cell r="D283">
            <v>1</v>
          </cell>
        </row>
        <row r="284">
          <cell r="A284" t="str">
            <v>BRCARD SCD - PRUDENCIAL</v>
          </cell>
          <cell r="D284">
            <v>1</v>
          </cell>
        </row>
        <row r="285">
          <cell r="A285" t="str">
            <v>HR SCMEPP LTDA. - PRUDENCIAL</v>
          </cell>
          <cell r="D285">
            <v>1</v>
          </cell>
        </row>
        <row r="286">
          <cell r="A286" t="str">
            <v>FINLEV SCD PRUDENCIAL</v>
          </cell>
          <cell r="D286">
            <v>1</v>
          </cell>
        </row>
        <row r="287">
          <cell r="A287" t="str">
            <v>GIRO SCD - PRUDENCIAL</v>
          </cell>
          <cell r="D287">
            <v>1</v>
          </cell>
        </row>
        <row r="288">
          <cell r="A288" t="str">
            <v>BEZZ SCD - PRUDENCIAL</v>
          </cell>
          <cell r="D288">
            <v>1</v>
          </cell>
        </row>
        <row r="289">
          <cell r="A289" t="str">
            <v>VNK SCMEPP - PRUDENCIAL</v>
          </cell>
          <cell r="D289">
            <v>1</v>
          </cell>
        </row>
        <row r="290">
          <cell r="A290" t="str">
            <v>FARMTECH SCD - PRUDENCIAL</v>
          </cell>
          <cell r="D290">
            <v>1</v>
          </cell>
        </row>
        <row r="291">
          <cell r="A291" t="str">
            <v>CORPORE SCD - PRUDENCIAL</v>
          </cell>
          <cell r="D291">
            <v>1</v>
          </cell>
        </row>
        <row r="292">
          <cell r="A292" t="str">
            <v>EMCASH SERVICOS FINANCEIROS SEP - PRUDENCIAL</v>
          </cell>
          <cell r="D292">
            <v>1</v>
          </cell>
        </row>
        <row r="293">
          <cell r="A293" t="str">
            <v>QUEROCRED SCD - PRUDENCIAL</v>
          </cell>
          <cell r="D293">
            <v>1</v>
          </cell>
        </row>
        <row r="294">
          <cell r="A294" t="str">
            <v>ATLANTA SCM LTDA - PRUDENCIAL</v>
          </cell>
          <cell r="D294">
            <v>1</v>
          </cell>
        </row>
        <row r="295">
          <cell r="A295" t="str">
            <v>BIZCAPITAL SCD - PRUDENCIAL</v>
          </cell>
          <cell r="D295">
            <v>1</v>
          </cell>
        </row>
        <row r="296">
          <cell r="A296" t="str">
            <v>LAMARA SCD - PRUDENCIAL</v>
          </cell>
          <cell r="D296">
            <v>1</v>
          </cell>
        </row>
        <row r="297">
          <cell r="A297" t="str">
            <v>FIDEM SCD - PRUDENCIAL</v>
          </cell>
          <cell r="D297">
            <v>1</v>
          </cell>
        </row>
        <row r="298">
          <cell r="A298" t="str">
            <v>PROVU SCD - PRUDENCIAL</v>
          </cell>
          <cell r="D298">
            <v>1</v>
          </cell>
        </row>
        <row r="299">
          <cell r="A299" t="str">
            <v>CREDILON SCM REG. LONDRINA LTD - PRUDENCIAL</v>
          </cell>
          <cell r="D299">
            <v>1</v>
          </cell>
        </row>
        <row r="300">
          <cell r="A300" t="str">
            <v>EASY MONEY SCD - PRUDENCIAL</v>
          </cell>
          <cell r="D300">
            <v>1</v>
          </cell>
        </row>
        <row r="301">
          <cell r="A301" t="str">
            <v>NIXFIN SCD - PRUDENCIAL</v>
          </cell>
          <cell r="D301">
            <v>1</v>
          </cell>
        </row>
        <row r="302">
          <cell r="A302" t="str">
            <v>FINAZO SCD - PRUDENCIAL</v>
          </cell>
          <cell r="D302">
            <v>1</v>
          </cell>
        </row>
        <row r="303">
          <cell r="A303" t="str">
            <v>OPPENS SEP - PRUDENCIAL</v>
          </cell>
          <cell r="D303">
            <v>1</v>
          </cell>
        </row>
        <row r="304">
          <cell r="A304" t="str">
            <v>FIDO SEP - PRUDENCIAL</v>
          </cell>
          <cell r="D304">
            <v>1</v>
          </cell>
        </row>
        <row r="305">
          <cell r="A305" t="str">
            <v>ÓPERA SCD - PRUDENCIAL</v>
          </cell>
          <cell r="D305">
            <v>1</v>
          </cell>
        </row>
        <row r="306">
          <cell r="A306" t="str">
            <v>KIKAI SCD PRUDENCIAL</v>
          </cell>
          <cell r="D306">
            <v>1</v>
          </cell>
        </row>
        <row r="307">
          <cell r="A307" t="str">
            <v>FATORI SCMEPP - PRUDENCIAL</v>
          </cell>
          <cell r="D307">
            <v>1</v>
          </cell>
        </row>
        <row r="308">
          <cell r="A308" t="str">
            <v>CF GROUP SEP - PRUDENCIAL</v>
          </cell>
          <cell r="D308">
            <v>1</v>
          </cell>
        </row>
        <row r="309">
          <cell r="A309" t="str">
            <v>PINE - PRUDENCIAL</v>
          </cell>
          <cell r="D309">
            <v>1</v>
          </cell>
        </row>
        <row r="310">
          <cell r="A310" t="str">
            <v>HS FINANCEIRA - PRUDENCIAL</v>
          </cell>
          <cell r="D310">
            <v>1</v>
          </cell>
        </row>
        <row r="311">
          <cell r="A311" t="str">
            <v>CONTA SIMPLES SCD - PRUDENCIAL</v>
          </cell>
          <cell r="D311">
            <v>1</v>
          </cell>
        </row>
        <row r="312">
          <cell r="A312" t="str">
            <v>PERSONAL SCD - PRUDENCIAL</v>
          </cell>
          <cell r="D312">
            <v>1</v>
          </cell>
        </row>
      </sheetData>
      <sheetData sheetId="4">
        <row r="2">
          <cell r="A2" t="str">
            <v>ITAU - PRUDENCIAL</v>
          </cell>
          <cell r="D2">
            <v>1</v>
          </cell>
        </row>
        <row r="3">
          <cell r="A3" t="str">
            <v>BB - PRUDENCIAL</v>
          </cell>
          <cell r="D3">
            <v>1</v>
          </cell>
        </row>
        <row r="4">
          <cell r="A4" t="str">
            <v>CAIXA ECONÔMICA FEDERAL - PRUDENCIAL</v>
          </cell>
          <cell r="D4">
            <v>1</v>
          </cell>
        </row>
        <row r="5">
          <cell r="A5" t="str">
            <v>BRADESCO - PRUDENCIAL</v>
          </cell>
          <cell r="D5">
            <v>1</v>
          </cell>
        </row>
        <row r="6">
          <cell r="A6" t="str">
            <v>SANTANDER - PRUDENCIAL</v>
          </cell>
          <cell r="D6">
            <v>1</v>
          </cell>
        </row>
        <row r="7">
          <cell r="A7" t="str">
            <v>BNDES - PRUDENCIAL</v>
          </cell>
          <cell r="D7">
            <v>1</v>
          </cell>
        </row>
        <row r="8">
          <cell r="A8" t="str">
            <v>BTG PACTUAL - PRUDENCIAL</v>
          </cell>
          <cell r="D8">
            <v>1</v>
          </cell>
        </row>
        <row r="9">
          <cell r="A9" t="str">
            <v>XP - PRUDENCIAL</v>
          </cell>
          <cell r="D9">
            <v>1</v>
          </cell>
        </row>
        <row r="10">
          <cell r="A10" t="str">
            <v>NU PAGAMENTOS - PRUDENCIAL</v>
          </cell>
          <cell r="D10">
            <v>1</v>
          </cell>
        </row>
        <row r="11">
          <cell r="A11" t="str">
            <v>SAFRA - PRUDENCIAL</v>
          </cell>
          <cell r="D11">
            <v>1</v>
          </cell>
        </row>
        <row r="12">
          <cell r="A12" t="str">
            <v>BCO COOPERATIVO SICREDI - PRUDENCIAL</v>
          </cell>
          <cell r="D12">
            <v>1</v>
          </cell>
        </row>
        <row r="13">
          <cell r="A13" t="str">
            <v>BANCO SICOOB - PRUDENCIAL</v>
          </cell>
          <cell r="D13">
            <v>1</v>
          </cell>
        </row>
        <row r="14">
          <cell r="A14" t="str">
            <v>CITIBANK - PRUDENCIAL</v>
          </cell>
          <cell r="D14">
            <v>1</v>
          </cell>
        </row>
        <row r="15">
          <cell r="A15" t="str">
            <v>BANRISUL - PRUDENCIAL</v>
          </cell>
          <cell r="D15">
            <v>1</v>
          </cell>
        </row>
        <row r="16">
          <cell r="A16" t="str">
            <v>VOTORANTIM - PRUDENCIAL</v>
          </cell>
          <cell r="D16">
            <v>1</v>
          </cell>
        </row>
        <row r="17">
          <cell r="A17" t="str">
            <v>BANCO C6 - PRUDENCIAL</v>
          </cell>
          <cell r="D17">
            <v>1</v>
          </cell>
        </row>
        <row r="18">
          <cell r="A18" t="str">
            <v>CIELO IP - PRUDENCIAL</v>
          </cell>
          <cell r="D18">
            <v>1</v>
          </cell>
        </row>
        <row r="19">
          <cell r="A19" t="str">
            <v>BCO DAYCOVAL S.A - PRUDENCIAL</v>
          </cell>
          <cell r="D19">
            <v>1</v>
          </cell>
        </row>
        <row r="20">
          <cell r="A20" t="str">
            <v>MERCADO PAGO IP - PRUDENCIAL</v>
          </cell>
          <cell r="D20">
            <v>1</v>
          </cell>
        </row>
        <row r="21">
          <cell r="A21" t="str">
            <v>JP MORGAN CHASE - PRUDENCIAL</v>
          </cell>
          <cell r="D21">
            <v>1</v>
          </cell>
        </row>
        <row r="22">
          <cell r="A22" t="str">
            <v>INTER - PRUDENCIAL</v>
          </cell>
          <cell r="D22">
            <v>1</v>
          </cell>
        </row>
        <row r="23">
          <cell r="A23" t="str">
            <v>BRB - PRUDENCIAL</v>
          </cell>
          <cell r="D23">
            <v>1</v>
          </cell>
        </row>
        <row r="24">
          <cell r="A24" t="str">
            <v>BCO DO NORDESTE DO BRASIL S.A. - PRUDENCIAL</v>
          </cell>
          <cell r="D24">
            <v>1</v>
          </cell>
        </row>
        <row r="25">
          <cell r="A25" t="str">
            <v>PAGSEGURO - PRUDENCIAL</v>
          </cell>
          <cell r="D25">
            <v>1</v>
          </cell>
        </row>
        <row r="26">
          <cell r="A26" t="str">
            <v>ABC-BRASIL - PRUDENCIAL</v>
          </cell>
          <cell r="D26">
            <v>1</v>
          </cell>
        </row>
        <row r="27">
          <cell r="A27" t="str">
            <v>BCO DA AMAZONIA S.A. - PRUDENCIAL</v>
          </cell>
          <cell r="D27">
            <v>1</v>
          </cell>
        </row>
        <row r="28">
          <cell r="A28" t="str">
            <v>VOLKSWAGEN - PRUDENCIAL</v>
          </cell>
          <cell r="D28">
            <v>1</v>
          </cell>
        </row>
        <row r="29">
          <cell r="A29" t="str">
            <v>BCO RABOBANK INTL BRASIL S.A. - PRUDENCIAL</v>
          </cell>
          <cell r="D29">
            <v>1</v>
          </cell>
        </row>
        <row r="30">
          <cell r="A30" t="str">
            <v>STONE IP - PRUDENCIAL</v>
          </cell>
          <cell r="D30">
            <v>1</v>
          </cell>
        </row>
        <row r="31">
          <cell r="A31" t="str">
            <v>BMG - PRUDENCIAL</v>
          </cell>
          <cell r="D31">
            <v>1</v>
          </cell>
        </row>
        <row r="32">
          <cell r="A32" t="str">
            <v>BNP PARIBAS - PRUDENCIAL</v>
          </cell>
          <cell r="D32">
            <v>1</v>
          </cell>
        </row>
        <row r="33">
          <cell r="A33" t="str">
            <v>BOFA MERRILL LYNCH - PRUDENCIAL</v>
          </cell>
          <cell r="D33">
            <v>1</v>
          </cell>
        </row>
        <row r="34">
          <cell r="A34" t="str">
            <v>AGIBANK - PRUDENCIAL</v>
          </cell>
          <cell r="D34">
            <v>1</v>
          </cell>
        </row>
        <row r="35">
          <cell r="A35" t="str">
            <v>BANESTES - PRUDENCIAL</v>
          </cell>
          <cell r="D35">
            <v>1</v>
          </cell>
        </row>
        <row r="36">
          <cell r="A36" t="str">
            <v>PICPAY - PRUDENCIAL</v>
          </cell>
          <cell r="D36">
            <v>1</v>
          </cell>
        </row>
        <row r="37">
          <cell r="A37" t="str">
            <v>ORIGINAL - PRUDENCIAL</v>
          </cell>
          <cell r="D37">
            <v>0.75</v>
          </cell>
        </row>
        <row r="38">
          <cell r="A38" t="str">
            <v>GOLDMAN SACHS - PRUDENCIAL</v>
          </cell>
          <cell r="D38">
            <v>1</v>
          </cell>
        </row>
        <row r="39">
          <cell r="A39" t="str">
            <v>MERCANTIL DO BRASIL - PRUDENCIAL</v>
          </cell>
          <cell r="D39">
            <v>1</v>
          </cell>
        </row>
        <row r="40">
          <cell r="A40" t="str">
            <v>BOCOM - PRUDENCIAL</v>
          </cell>
          <cell r="D40">
            <v>1</v>
          </cell>
        </row>
        <row r="41">
          <cell r="A41" t="str">
            <v>BCO CLASSICO S.A. - PRUDENCIAL</v>
          </cell>
          <cell r="D41">
            <v>1</v>
          </cell>
        </row>
        <row r="42">
          <cell r="A42" t="str">
            <v>BD REGIONAL DO EXTREMO SUL - PRUDENCIAL</v>
          </cell>
          <cell r="D42">
            <v>1</v>
          </cell>
        </row>
        <row r="43">
          <cell r="A43" t="str">
            <v>BANCO CNH INDUSTRIAL CAPITAL S.A - PRUDENCIAL</v>
          </cell>
          <cell r="D43">
            <v>1</v>
          </cell>
        </row>
        <row r="44">
          <cell r="A44" t="str">
            <v>MORGAN STANLEY - PRUDENCIAL</v>
          </cell>
          <cell r="D44">
            <v>1</v>
          </cell>
        </row>
        <row r="45">
          <cell r="A45" t="str">
            <v>TERRA INVESTIMENTOS DTVM - PRUDENCIAL</v>
          </cell>
          <cell r="D45">
            <v>0.75</v>
          </cell>
        </row>
        <row r="46">
          <cell r="A46" t="str">
            <v>BANK OF CHINA (BRASIL) - PRUDENCIAL</v>
          </cell>
          <cell r="D46">
            <v>1</v>
          </cell>
        </row>
        <row r="47">
          <cell r="A47" t="str">
            <v>PORTO SEGURO - PRUDENCIAL</v>
          </cell>
          <cell r="D47">
            <v>1</v>
          </cell>
        </row>
        <row r="48">
          <cell r="A48" t="str">
            <v>BCO FIBRA S.A. - PRUDENCIAL</v>
          </cell>
          <cell r="D48">
            <v>1</v>
          </cell>
        </row>
        <row r="49">
          <cell r="A49" t="str">
            <v>BCO CSF S.A. - PRUDENCIAL</v>
          </cell>
          <cell r="D49">
            <v>1</v>
          </cell>
        </row>
        <row r="50">
          <cell r="A50" t="str">
            <v>STELLANTIS - PRUDENCIAL</v>
          </cell>
          <cell r="D50">
            <v>1</v>
          </cell>
        </row>
        <row r="51">
          <cell r="A51" t="str">
            <v>UBS (BRASIL) - PRUDENCIAL</v>
          </cell>
          <cell r="D51">
            <v>1</v>
          </cell>
        </row>
        <row r="52">
          <cell r="A52" t="str">
            <v>CREDIT AGRICOLE - PRUDENCIAL</v>
          </cell>
          <cell r="D52">
            <v>1</v>
          </cell>
        </row>
        <row r="53">
          <cell r="A53" t="str">
            <v>CLOUDWALK IP - PRUDENCIAL</v>
          </cell>
          <cell r="D53">
            <v>1</v>
          </cell>
        </row>
        <row r="54">
          <cell r="A54" t="str">
            <v>BCO DO EST. DO PA S.A. - PRUDENCIAL</v>
          </cell>
          <cell r="D54">
            <v>1</v>
          </cell>
        </row>
        <row r="55">
          <cell r="A55" t="str">
            <v>MERCEDES-BENZ - PRUDENCIAL</v>
          </cell>
          <cell r="D55">
            <v>1</v>
          </cell>
        </row>
        <row r="56">
          <cell r="A56" t="str">
            <v>SCOTIABANK BRASIL - PRUDENCIAL</v>
          </cell>
          <cell r="D56">
            <v>1</v>
          </cell>
        </row>
        <row r="57">
          <cell r="A57" t="str">
            <v>VOLVO - PRUDENCIAL</v>
          </cell>
          <cell r="D57">
            <v>1</v>
          </cell>
        </row>
        <row r="58">
          <cell r="A58" t="str">
            <v>SCANIA - PRUDENCIAL</v>
          </cell>
          <cell r="D58">
            <v>1</v>
          </cell>
        </row>
        <row r="59">
          <cell r="A59" t="str">
            <v>HONDA - PRUDENCIAL</v>
          </cell>
          <cell r="D59">
            <v>1</v>
          </cell>
        </row>
        <row r="60">
          <cell r="A60" t="str">
            <v>GM - PRUDENCIAL</v>
          </cell>
          <cell r="D60">
            <v>1</v>
          </cell>
        </row>
        <row r="61">
          <cell r="A61" t="str">
            <v>BR PARTNERS - PRUDENCIAL</v>
          </cell>
          <cell r="D61">
            <v>1</v>
          </cell>
        </row>
        <row r="62">
          <cell r="A62" t="str">
            <v>DEUTSCHE - PRUDENCIAL</v>
          </cell>
          <cell r="D62">
            <v>1</v>
          </cell>
        </row>
        <row r="63">
          <cell r="A63" t="str">
            <v>MIZUHO - PRUDENCIAL</v>
          </cell>
          <cell r="D63">
            <v>1</v>
          </cell>
        </row>
        <row r="64">
          <cell r="A64" t="str">
            <v>BCO DO EST. DE SE S.A. - PRUDENCIAL</v>
          </cell>
          <cell r="D64">
            <v>1</v>
          </cell>
        </row>
        <row r="65">
          <cell r="A65" t="str">
            <v>BCO DE LAGE LANDEN BRASIL S.A. - PRUDENCIAL</v>
          </cell>
          <cell r="D65">
            <v>0.25</v>
          </cell>
        </row>
        <row r="66">
          <cell r="A66" t="str">
            <v>BANCO HSBC - PRUDENCIAL</v>
          </cell>
          <cell r="D66">
            <v>1</v>
          </cell>
        </row>
        <row r="67">
          <cell r="A67" t="str">
            <v>BCO DES. DE MG S.A. - PRUDENCIAL</v>
          </cell>
          <cell r="D67">
            <v>1</v>
          </cell>
        </row>
        <row r="68">
          <cell r="A68" t="str">
            <v>BCO MUFG BRASIL S.A. - PRUDENCIAL</v>
          </cell>
          <cell r="D68">
            <v>1</v>
          </cell>
        </row>
        <row r="69">
          <cell r="A69" t="str">
            <v>BCO TOYOTA DO BRASIL S.A. - PRUDENCIAL</v>
          </cell>
          <cell r="D69">
            <v>1</v>
          </cell>
        </row>
        <row r="70">
          <cell r="A70" t="str">
            <v>PARANÁ BANCO - PRUDENCIAL</v>
          </cell>
          <cell r="D70">
            <v>1</v>
          </cell>
        </row>
        <row r="71">
          <cell r="A71" t="str">
            <v>BCO INBURSA S.A. - PRUDENCIAL</v>
          </cell>
          <cell r="D71">
            <v>1</v>
          </cell>
        </row>
        <row r="72">
          <cell r="A72" t="str">
            <v>APE POUPEX - PRUDENCIAL</v>
          </cell>
          <cell r="D72">
            <v>1</v>
          </cell>
        </row>
        <row r="73">
          <cell r="A73" t="str">
            <v>NEON PAGAMENTOS IP - PRUDENCIAL</v>
          </cell>
          <cell r="D73">
            <v>0.25</v>
          </cell>
        </row>
        <row r="74">
          <cell r="A74" t="str">
            <v>BCO SUMITOMO MITSUI BRASIL S.A. - PRUDENCIAL</v>
          </cell>
          <cell r="D74">
            <v>0.25</v>
          </cell>
        </row>
        <row r="75">
          <cell r="A75" t="str">
            <v>BANCO DIGIMAIS - PRUDENCIAL</v>
          </cell>
          <cell r="D75">
            <v>1</v>
          </cell>
        </row>
        <row r="76">
          <cell r="A76" t="str">
            <v>CREFISA S.A. CFI - PRUDENCIAL</v>
          </cell>
          <cell r="D76">
            <v>1</v>
          </cell>
        </row>
        <row r="77">
          <cell r="A77" t="str">
            <v>FACTA S.A. CFI - PRUDENCIAL</v>
          </cell>
          <cell r="D77">
            <v>1</v>
          </cell>
        </row>
        <row r="78">
          <cell r="A78" t="str">
            <v>SOCIETE GENERALE - PRUDENCIAL</v>
          </cell>
          <cell r="D78">
            <v>1</v>
          </cell>
        </row>
        <row r="79">
          <cell r="A79" t="str">
            <v>HAITONG - PRUDENCIAL</v>
          </cell>
          <cell r="D79">
            <v>0.75</v>
          </cell>
        </row>
        <row r="80">
          <cell r="A80" t="str">
            <v>SEM PARAR IP - PRUDENCIAL</v>
          </cell>
          <cell r="D80">
            <v>1</v>
          </cell>
        </row>
        <row r="81">
          <cell r="A81" t="str">
            <v>BANCO PACCAR - PRUDENCIAL</v>
          </cell>
          <cell r="D81">
            <v>1</v>
          </cell>
        </row>
        <row r="82">
          <cell r="A82" t="str">
            <v>BS2 - PRUDENCIAL</v>
          </cell>
          <cell r="D82">
            <v>1</v>
          </cell>
        </row>
        <row r="83">
          <cell r="A83" t="str">
            <v>ALELO IP - PRUDENCIAL</v>
          </cell>
          <cell r="D83">
            <v>1</v>
          </cell>
        </row>
        <row r="84">
          <cell r="A84" t="str">
            <v>INDUSTRIAL DO BRASIL - PRUDENCIAL</v>
          </cell>
          <cell r="D84">
            <v>0.25</v>
          </cell>
        </row>
        <row r="85">
          <cell r="A85" t="str">
            <v>OMNI - PRUDENCIAL</v>
          </cell>
          <cell r="D85">
            <v>0.25</v>
          </cell>
        </row>
        <row r="86">
          <cell r="A86" t="str">
            <v>REALIZE CFI - PRUDENCIAL</v>
          </cell>
          <cell r="D86">
            <v>1</v>
          </cell>
        </row>
        <row r="87">
          <cell r="A87" t="str">
            <v>MIDWAY S.A. - SCFI - PRUDENCIAL</v>
          </cell>
          <cell r="D87">
            <v>1</v>
          </cell>
        </row>
        <row r="88">
          <cell r="A88" t="str">
            <v>BCO CATERPILLAR S.A. - PRUDENCIAL</v>
          </cell>
          <cell r="D88">
            <v>1</v>
          </cell>
        </row>
        <row r="89">
          <cell r="A89" t="str">
            <v>RODOBENS - PRUDENCIAL</v>
          </cell>
          <cell r="D89">
            <v>1</v>
          </cell>
        </row>
        <row r="90">
          <cell r="A90" t="str">
            <v>FISERV DO BRASIL IP - PRUDENCIAL</v>
          </cell>
          <cell r="D90">
            <v>0.25</v>
          </cell>
        </row>
        <row r="91">
          <cell r="A91" t="str">
            <v>PEFISA S.A. - PRUDENCIAL</v>
          </cell>
          <cell r="D91">
            <v>0.25</v>
          </cell>
        </row>
        <row r="92">
          <cell r="A92" t="str">
            <v>NOVO BCO CONTINENTAL S.A. - BM - PRUDENCIAL</v>
          </cell>
          <cell r="D92">
            <v>0.75</v>
          </cell>
        </row>
        <row r="93">
          <cell r="A93" t="str">
            <v>RENDIMENTO - PRUDENCIAL</v>
          </cell>
          <cell r="D93">
            <v>1</v>
          </cell>
        </row>
        <row r="94">
          <cell r="A94" t="str">
            <v>DM FINANCEIRA CFI - PRUDENCIAL</v>
          </cell>
          <cell r="D94">
            <v>0.25</v>
          </cell>
        </row>
        <row r="95">
          <cell r="A95" t="str">
            <v>YAMAHA MOTOR - PRUDENCIAL</v>
          </cell>
          <cell r="D95">
            <v>0.25</v>
          </cell>
        </row>
        <row r="96">
          <cell r="A96" t="str">
            <v>AF DESENVOLVE SP S.A. - PRUDENCIAL</v>
          </cell>
          <cell r="D96">
            <v>1</v>
          </cell>
        </row>
        <row r="97">
          <cell r="A97" t="str">
            <v>BCO TRIANGULO S.A. - PRUDENCIAL</v>
          </cell>
          <cell r="D97">
            <v>1</v>
          </cell>
        </row>
        <row r="98">
          <cell r="A98" t="str">
            <v>INTESA SANPAOLO BRASIL S.A. - PRUDENCIAL</v>
          </cell>
          <cell r="D98">
            <v>1</v>
          </cell>
        </row>
        <row r="99">
          <cell r="A99" t="str">
            <v>GENIAL - PRUDENCIAL</v>
          </cell>
          <cell r="D99">
            <v>0.25</v>
          </cell>
        </row>
        <row r="100">
          <cell r="A100" t="str">
            <v>BCO LUSO BRASILEIRO S.A. - PRUDENCIAL</v>
          </cell>
          <cell r="D100">
            <v>1</v>
          </cell>
        </row>
        <row r="101">
          <cell r="A101" t="str">
            <v>AF PARANÁ - PRUDENCIAL</v>
          </cell>
          <cell r="D101">
            <v>1</v>
          </cell>
        </row>
        <row r="102">
          <cell r="A102" t="str">
            <v>BMW - PRUDENCIAL</v>
          </cell>
          <cell r="D102">
            <v>1</v>
          </cell>
        </row>
        <row r="103">
          <cell r="A103" t="str">
            <v>QI SCD - PRUDENCIAL</v>
          </cell>
          <cell r="D103">
            <v>1</v>
          </cell>
        </row>
        <row r="104">
          <cell r="A104" t="str">
            <v>SHPP BRASIL IP - PRUDENCIAL</v>
          </cell>
          <cell r="D104">
            <v>0.25</v>
          </cell>
        </row>
        <row r="105">
          <cell r="A105" t="str">
            <v>BADESUL DESENVOLVIMENTO AF/RS - PRUDENCIAL</v>
          </cell>
          <cell r="D105">
            <v>1</v>
          </cell>
        </row>
        <row r="106">
          <cell r="A106" t="str">
            <v>WARREN CCVM LTDA - PRUDENCIAL</v>
          </cell>
          <cell r="D106">
            <v>0.75</v>
          </cell>
        </row>
        <row r="107">
          <cell r="A107" t="str">
            <v>BCO CARGILL S.A. - PRUDENCIAL</v>
          </cell>
          <cell r="D107">
            <v>1</v>
          </cell>
        </row>
        <row r="108">
          <cell r="A108" t="str">
            <v>CREDSYSTEM IP - PRUDENCIAL</v>
          </cell>
          <cell r="D108">
            <v>1</v>
          </cell>
        </row>
        <row r="109">
          <cell r="A109" t="str">
            <v>BMP SCMEPP LTDA - PRUDENCIAL</v>
          </cell>
          <cell r="D109">
            <v>1</v>
          </cell>
        </row>
        <row r="110">
          <cell r="A110" t="str">
            <v>RANDON - PRUDENCIAL</v>
          </cell>
          <cell r="D110">
            <v>1</v>
          </cell>
        </row>
        <row r="111">
          <cell r="A111" t="str">
            <v>BCO KDB BRASIL S.A. - PRUDENCIAL</v>
          </cell>
          <cell r="D111">
            <v>1</v>
          </cell>
        </row>
        <row r="112">
          <cell r="A112" t="str">
            <v>ANDBANK - PRUDENCIAL</v>
          </cell>
          <cell r="D112">
            <v>1</v>
          </cell>
        </row>
        <row r="113">
          <cell r="A113" t="str">
            <v>BCO ABN AMRO CLEARING - PRUDENCIAL</v>
          </cell>
          <cell r="D113">
            <v>1</v>
          </cell>
        </row>
        <row r="114">
          <cell r="A114" t="str">
            <v>MAGALUPAY IP - PRUDENCIAL</v>
          </cell>
          <cell r="D114">
            <v>1</v>
          </cell>
        </row>
        <row r="115">
          <cell r="A115" t="str">
            <v>ADYEN DO BRASIL IP - PRUDENCIAL</v>
          </cell>
          <cell r="D115">
            <v>1</v>
          </cell>
        </row>
        <row r="116">
          <cell r="A116" t="str">
            <v>PAYPAL DO BRASIL IP - PRUDENCIAL</v>
          </cell>
          <cell r="D116">
            <v>0.75</v>
          </cell>
        </row>
        <row r="117">
          <cell r="A117" t="str">
            <v>99PAY IP - PRUDENCIAL</v>
          </cell>
          <cell r="D117">
            <v>0.75</v>
          </cell>
        </row>
        <row r="118">
          <cell r="A118" t="str">
            <v>AFINZ IP - PRUDENCIAL</v>
          </cell>
          <cell r="D118">
            <v>0.25</v>
          </cell>
        </row>
        <row r="119">
          <cell r="A119" t="str">
            <v>S3 CACEIS BRASIL DTVM - PRUDENCIAL</v>
          </cell>
          <cell r="D119">
            <v>1</v>
          </cell>
        </row>
        <row r="120">
          <cell r="A120" t="str">
            <v>OURIBANK - PRUDENCIAL</v>
          </cell>
          <cell r="D120">
            <v>1</v>
          </cell>
        </row>
        <row r="121">
          <cell r="A121" t="str">
            <v>CORA SCFI - PRUDENCIAL</v>
          </cell>
          <cell r="D121">
            <v>1</v>
          </cell>
        </row>
        <row r="122">
          <cell r="A122" t="str">
            <v>ZOOP TECNOLOGIA IP - PRUDENCIAL</v>
          </cell>
          <cell r="D122">
            <v>1</v>
          </cell>
        </row>
        <row r="123">
          <cell r="A123" t="str">
            <v>BBC S.A. - PRUDENCIAL</v>
          </cell>
          <cell r="D123">
            <v>0.25</v>
          </cell>
        </row>
        <row r="124">
          <cell r="A124" t="str">
            <v>SUMUP IP - PRUDENCIAL</v>
          </cell>
          <cell r="D124">
            <v>1</v>
          </cell>
        </row>
        <row r="125">
          <cell r="A125" t="str">
            <v>BANCO TOPÁZIO S.A. - PRUDENCIAL</v>
          </cell>
          <cell r="D125">
            <v>1</v>
          </cell>
        </row>
        <row r="126">
          <cell r="A126" t="str">
            <v>BANCO IBM S.A. - PRUDENCIAL</v>
          </cell>
          <cell r="D126">
            <v>1</v>
          </cell>
        </row>
        <row r="127">
          <cell r="A127" t="str">
            <v>EDENRED SOLUCOES E IP AHA - PRUDENCIAL</v>
          </cell>
          <cell r="D127">
            <v>0.25</v>
          </cell>
        </row>
        <row r="128">
          <cell r="A128" t="str">
            <v>BCO GUANABARA S.A. - PRUDENCIAL</v>
          </cell>
          <cell r="D128">
            <v>1</v>
          </cell>
        </row>
        <row r="129">
          <cell r="A129" t="str">
            <v>ASAAS GESTAO FINANCEIRA IP - PRUDENCIAL</v>
          </cell>
          <cell r="D129">
            <v>0.75</v>
          </cell>
        </row>
        <row r="130">
          <cell r="A130" t="str">
            <v>DOCK IP - PRUDENCIAL</v>
          </cell>
          <cell r="D130">
            <v>0.25</v>
          </cell>
        </row>
        <row r="131">
          <cell r="A131" t="str">
            <v>BCO DES. DO ES S.A. - PRUDENCIAL</v>
          </cell>
          <cell r="D131">
            <v>1</v>
          </cell>
        </row>
        <row r="132">
          <cell r="A132" t="str">
            <v>BANCO BARI DE INVESTIMENTO E FINANCI. - PRUDENCIAL</v>
          </cell>
          <cell r="D132">
            <v>1</v>
          </cell>
        </row>
        <row r="133">
          <cell r="A133" t="str">
            <v>BANCO RIBEIRÃO PRETO - PRUDENCIAL</v>
          </cell>
          <cell r="D133">
            <v>1</v>
          </cell>
        </row>
        <row r="134">
          <cell r="A134" t="str">
            <v>FLASH TECNOLOGIA IP - PRUDENCIAL</v>
          </cell>
          <cell r="D134">
            <v>0.25</v>
          </cell>
        </row>
        <row r="135">
          <cell r="A135" t="str">
            <v>CAIXA GERAL - PRUDENCIAL</v>
          </cell>
          <cell r="D135">
            <v>0.25</v>
          </cell>
        </row>
        <row r="136">
          <cell r="A136" t="str">
            <v>RECARGAPAY IP - PRUDENCIAL</v>
          </cell>
          <cell r="D136">
            <v>0.25</v>
          </cell>
        </row>
        <row r="137">
          <cell r="A137" t="str">
            <v>LEASEPLAN AM S.A. - PRUDENCIAL</v>
          </cell>
          <cell r="D137">
            <v>1</v>
          </cell>
        </row>
        <row r="138">
          <cell r="A138" t="str">
            <v>HP FINANCIAL SERVICES AM S.A - PRUDENCIAL</v>
          </cell>
          <cell r="D138">
            <v>1</v>
          </cell>
        </row>
        <row r="139">
          <cell r="A139" t="str">
            <v>QISTA S.A. CFI - PRUDENCIAL</v>
          </cell>
          <cell r="D139">
            <v>1</v>
          </cell>
        </row>
        <row r="140">
          <cell r="A140" t="str">
            <v>AF DO ESTADO DE SC S.A. - PRUDENCIAL</v>
          </cell>
          <cell r="D140">
            <v>1</v>
          </cell>
        </row>
        <row r="141">
          <cell r="A141" t="str">
            <v>BANCO PAULISTA - PRUDENCIAL</v>
          </cell>
          <cell r="D141">
            <v>0.25</v>
          </cell>
        </row>
        <row r="142">
          <cell r="A142" t="str">
            <v>VORTX DTVM - PRUDENCIAL</v>
          </cell>
          <cell r="D142">
            <v>1</v>
          </cell>
        </row>
        <row r="143">
          <cell r="A143" t="str">
            <v>BNY MELLON - PRUDENCIAL</v>
          </cell>
          <cell r="D143">
            <v>0.25</v>
          </cell>
        </row>
        <row r="144">
          <cell r="A144" t="str">
            <v>ENTREPAY IP - PRUDENCIAL</v>
          </cell>
          <cell r="D144">
            <v>1</v>
          </cell>
        </row>
        <row r="145">
          <cell r="A145" t="str">
            <v>STRIPE BRASIL IP PRUDENCIAL</v>
          </cell>
          <cell r="D145">
            <v>0.75</v>
          </cell>
        </row>
        <row r="146">
          <cell r="A146" t="str">
            <v>CELCOIN IP - PRUDENCIAL</v>
          </cell>
          <cell r="D146">
            <v>0.75</v>
          </cell>
        </row>
        <row r="147">
          <cell r="A147" t="str">
            <v>IUGU IP - PRUDENCIAL</v>
          </cell>
          <cell r="D147">
            <v>0.25</v>
          </cell>
        </row>
        <row r="148">
          <cell r="A148" t="str">
            <v>STATE STREET BRASIL - PRUDENCIAL</v>
          </cell>
          <cell r="D148">
            <v>0.75</v>
          </cell>
        </row>
        <row r="149">
          <cell r="A149" t="str">
            <v>SWAP IP - PRUDENCIAL</v>
          </cell>
          <cell r="D149">
            <v>1</v>
          </cell>
        </row>
        <row r="150">
          <cell r="A150" t="str">
            <v>BCO KEB DO BRASIL SA - PRUDENCIAL</v>
          </cell>
          <cell r="D150">
            <v>0.75</v>
          </cell>
        </row>
        <row r="151">
          <cell r="A151" t="str">
            <v>EBANX IP - PRUDENCIAL</v>
          </cell>
          <cell r="D151">
            <v>1</v>
          </cell>
        </row>
        <row r="152">
          <cell r="A152" t="str">
            <v>BANCO MONEO S.A. - PRUDENCIAL</v>
          </cell>
          <cell r="D152">
            <v>1</v>
          </cell>
        </row>
        <row r="153">
          <cell r="A153" t="str">
            <v>SENFFNET IP - PRUDENCIAL</v>
          </cell>
          <cell r="D153">
            <v>1</v>
          </cell>
        </row>
        <row r="154">
          <cell r="A154" t="str">
            <v>CHG-MERIDIAN DO BRASIL AM S.A. - PRUDENCIAL</v>
          </cell>
          <cell r="D154">
            <v>0.75</v>
          </cell>
        </row>
        <row r="155">
          <cell r="A155" t="str">
            <v>ICBC DO BRASIL BM S.A. - PRUDENCIAL</v>
          </cell>
          <cell r="D155">
            <v>0.75</v>
          </cell>
        </row>
        <row r="156">
          <cell r="A156" t="str">
            <v>BANCO KOMATSU DO BRASIL - PRUDENCIAL</v>
          </cell>
          <cell r="D156">
            <v>0.75</v>
          </cell>
        </row>
        <row r="157">
          <cell r="A157" t="str">
            <v>BBVA BRASIL BI S.A. - PRUDENCIAL</v>
          </cell>
          <cell r="D157">
            <v>0.25</v>
          </cell>
        </row>
        <row r="158">
          <cell r="A158" t="str">
            <v>BCO ARBI S.A. - PRUDENCIAL</v>
          </cell>
          <cell r="D158">
            <v>0.5</v>
          </cell>
        </row>
        <row r="159">
          <cell r="A159" t="str">
            <v>WISE BRASIL CC - PRUDENCIAL</v>
          </cell>
          <cell r="D159">
            <v>0.75</v>
          </cell>
        </row>
        <row r="160">
          <cell r="A160" t="str">
            <v>DESENBAHIA AG FOMENTO BAHIA SA - PRUDENCIAL</v>
          </cell>
          <cell r="D160">
            <v>1</v>
          </cell>
        </row>
        <row r="161">
          <cell r="A161" t="str">
            <v>EMPRESA BRASILEIRA DE BENEFICIOS E PAGAMENTOS IP -</v>
          </cell>
          <cell r="D161">
            <v>0.25</v>
          </cell>
        </row>
        <row r="162">
          <cell r="A162" t="str">
            <v>STARA FINANCEIRA S.A. - CFI - PRUDENCIAL</v>
          </cell>
          <cell r="D162">
            <v>0.75</v>
          </cell>
        </row>
        <row r="163">
          <cell r="A163" t="str">
            <v>CARUANA SCFI - PRUDENCIAL</v>
          </cell>
          <cell r="D163">
            <v>0.25</v>
          </cell>
        </row>
        <row r="164">
          <cell r="A164" t="str">
            <v>BANCO SEMEAR - PRUDENCIAL</v>
          </cell>
          <cell r="D164">
            <v>0.75</v>
          </cell>
        </row>
        <row r="165">
          <cell r="A165" t="str">
            <v>NATURA &amp;CO PAY SCD</v>
          </cell>
          <cell r="D165">
            <v>1</v>
          </cell>
        </row>
        <row r="166">
          <cell r="A166" t="str">
            <v>STARK SCD - PRUDENCIAL</v>
          </cell>
          <cell r="D166">
            <v>0.75</v>
          </cell>
        </row>
        <row r="167">
          <cell r="A167" t="str">
            <v>BANCO B3 - PRUDENCIAL</v>
          </cell>
          <cell r="D167">
            <v>1</v>
          </cell>
        </row>
        <row r="168">
          <cell r="A168" t="str">
            <v>BPCE EQUIPMENT AM - PRUDENCIAL</v>
          </cell>
          <cell r="D168">
            <v>0.25</v>
          </cell>
        </row>
        <row r="169">
          <cell r="A169" t="str">
            <v>WORLDPAY DO BRASIL IP - PRUDENCIAL</v>
          </cell>
          <cell r="D169">
            <v>0.75</v>
          </cell>
        </row>
        <row r="170">
          <cell r="A170" t="str">
            <v>FATOR - PRUDENCIAL</v>
          </cell>
          <cell r="D170">
            <v>1</v>
          </cell>
        </row>
        <row r="171">
          <cell r="A171" t="str">
            <v>DLOCAL BRASIL INSTITUIÇÃO DE PAGAMENTO - PRUDENCIA</v>
          </cell>
          <cell r="D171">
            <v>0.25</v>
          </cell>
        </row>
        <row r="172">
          <cell r="A172" t="str">
            <v>BCO WOORI BANK DO BRASIL S.A. - PRUDENCIAL</v>
          </cell>
          <cell r="D172">
            <v>0.25</v>
          </cell>
        </row>
        <row r="173">
          <cell r="A173" t="str">
            <v>CSILATINA A.M. S.A. - PRUDENCIAL</v>
          </cell>
          <cell r="D173">
            <v>1</v>
          </cell>
        </row>
        <row r="174">
          <cell r="A174" t="str">
            <v>BANCO TRAVELEX - PRUDENCIAL</v>
          </cell>
          <cell r="D174">
            <v>0.75</v>
          </cell>
        </row>
        <row r="175">
          <cell r="A175" t="str">
            <v>BANCO XCMG BRASIL - PRUDENCIAL</v>
          </cell>
          <cell r="D175">
            <v>0.75</v>
          </cell>
        </row>
        <row r="176">
          <cell r="A176" t="str">
            <v>BOA VIAGEM SCC LTDA. - PRUDENCIAL</v>
          </cell>
          <cell r="D176">
            <v>0.5</v>
          </cell>
        </row>
        <row r="177">
          <cell r="A177" t="str">
            <v>AGROLEND SCFI - PRUDENCIAL</v>
          </cell>
          <cell r="D177">
            <v>0.75</v>
          </cell>
        </row>
        <row r="178">
          <cell r="A178" t="str">
            <v>MIRAE ASSET (BRASIL) CCTVM - PRUDENCIAL</v>
          </cell>
          <cell r="D178">
            <v>1</v>
          </cell>
        </row>
        <row r="179">
          <cell r="A179" t="str">
            <v>ZEMA CFI - PRUDENCIAL</v>
          </cell>
          <cell r="D179">
            <v>1</v>
          </cell>
        </row>
        <row r="180">
          <cell r="A180" t="str">
            <v>LEBES FINANCEIRA S.A. - CFI - PRUDENCIAL</v>
          </cell>
          <cell r="D180">
            <v>0.75</v>
          </cell>
        </row>
        <row r="181">
          <cell r="A181" t="str">
            <v>CREDIARE CFI - PRUDENCIAL</v>
          </cell>
          <cell r="D181">
            <v>0.5</v>
          </cell>
        </row>
        <row r="182">
          <cell r="A182" t="str">
            <v>REAG TRUST DTVM - PRUDENCIAL</v>
          </cell>
          <cell r="D182">
            <v>0.75</v>
          </cell>
        </row>
        <row r="183">
          <cell r="A183" t="str">
            <v>AGENCIA FOMENTO EST RJ S.A. - PRUDENCIAL</v>
          </cell>
          <cell r="D183">
            <v>0.75</v>
          </cell>
        </row>
        <row r="184">
          <cell r="A184" t="str">
            <v>BCO TRICURY S.A. - PRUDENCIAL</v>
          </cell>
          <cell r="D184">
            <v>1</v>
          </cell>
        </row>
        <row r="185">
          <cell r="A185" t="str">
            <v>CREDI SHOP S.A. - PRUDENCIAL</v>
          </cell>
          <cell r="D185">
            <v>0.75</v>
          </cell>
        </row>
        <row r="186">
          <cell r="A186" t="str">
            <v>CALCARD IP - PRUDENCIAL</v>
          </cell>
          <cell r="D186">
            <v>0.75</v>
          </cell>
        </row>
        <row r="187">
          <cell r="A187" t="str">
            <v>AME DIGITAL BRASIL IP - PRUDENCIAL</v>
          </cell>
          <cell r="D187">
            <v>0.25</v>
          </cell>
        </row>
        <row r="188">
          <cell r="A188" t="str">
            <v>EFI S.A. IP - PRUDENCIAL</v>
          </cell>
          <cell r="D188">
            <v>0.75</v>
          </cell>
        </row>
        <row r="189">
          <cell r="A189" t="str">
            <v>VR - PRUDENCIAL</v>
          </cell>
          <cell r="D189">
            <v>0.75</v>
          </cell>
        </row>
        <row r="190">
          <cell r="A190" t="str">
            <v>QUERO-QUERO VERDECARD IP - PRUDENCIAL</v>
          </cell>
          <cell r="D190">
            <v>0.75</v>
          </cell>
        </row>
        <row r="191">
          <cell r="A191" t="str">
            <v>BLU IP - PRUDENCIAL</v>
          </cell>
          <cell r="D191">
            <v>0.25</v>
          </cell>
        </row>
        <row r="192">
          <cell r="A192" t="str">
            <v>BULLLA IP - PRUDENCIAL</v>
          </cell>
          <cell r="D192">
            <v>0.75</v>
          </cell>
        </row>
        <row r="193">
          <cell r="A193" t="str">
            <v>CLARA IP - PRUDENCIAL</v>
          </cell>
          <cell r="D193">
            <v>0.25</v>
          </cell>
        </row>
        <row r="194">
          <cell r="A194" t="str">
            <v>BANQI IP - PRUDENCIAL</v>
          </cell>
          <cell r="D194">
            <v>0.75</v>
          </cell>
        </row>
        <row r="195">
          <cell r="A195" t="str">
            <v>SIMPALA CFI - PRUDENCIAL</v>
          </cell>
          <cell r="D195">
            <v>0.75</v>
          </cell>
        </row>
        <row r="196">
          <cell r="A196" t="str">
            <v>VIA CERTA CFI - PRUDENCIAL</v>
          </cell>
          <cell r="D196">
            <v>1</v>
          </cell>
        </row>
        <row r="197">
          <cell r="A197" t="str">
            <v>SUPERLÓGICA SCD PRUDENCIAL</v>
          </cell>
          <cell r="D197">
            <v>0.75</v>
          </cell>
        </row>
        <row r="198">
          <cell r="A198" t="str">
            <v>MÊNTORE IP - PRUDENCIAL</v>
          </cell>
          <cell r="D198">
            <v>1</v>
          </cell>
        </row>
        <row r="199">
          <cell r="A199" t="str">
            <v>OLIVEIRA TRUST DTVM S.A. - PRUDENCIAL</v>
          </cell>
          <cell r="D199">
            <v>1</v>
          </cell>
        </row>
        <row r="200">
          <cell r="A200" t="str">
            <v>OKTO IP - PRUDENCIAL</v>
          </cell>
          <cell r="D200">
            <v>1</v>
          </cell>
        </row>
        <row r="201">
          <cell r="A201" t="str">
            <v>PROVER PROMOCAO DE VENDAS IP - PRUDENCIAL</v>
          </cell>
          <cell r="D201">
            <v>1</v>
          </cell>
        </row>
        <row r="202">
          <cell r="A202" t="str">
            <v>SOCINAL S.A. CFI - PRUDENCIAL</v>
          </cell>
          <cell r="D202">
            <v>0.75</v>
          </cell>
        </row>
        <row r="203">
          <cell r="A203" t="str">
            <v>KREDILIG S.A. - CFI - PRUDENCIAL</v>
          </cell>
          <cell r="D203">
            <v>1</v>
          </cell>
        </row>
        <row r="204">
          <cell r="A204" t="str">
            <v>GAZINCRED SCFI - PRUDENCIAL</v>
          </cell>
          <cell r="D204">
            <v>1</v>
          </cell>
        </row>
        <row r="205">
          <cell r="A205" t="str">
            <v>AGORACRED S/A SCFI - PRUDENCIAL</v>
          </cell>
          <cell r="D205">
            <v>0.75</v>
          </cell>
        </row>
        <row r="206">
          <cell r="A206" t="str">
            <v>PINBANK BRASIL IP - PRUDENCIAL</v>
          </cell>
          <cell r="D206">
            <v>0.75</v>
          </cell>
        </row>
        <row r="207">
          <cell r="A207" t="str">
            <v>ASTRO IP - PRUDENCIAL</v>
          </cell>
          <cell r="D207">
            <v>0.75</v>
          </cell>
        </row>
        <row r="208">
          <cell r="A208" t="str">
            <v>GOWD IP - PRUDENCIAL</v>
          </cell>
          <cell r="D208">
            <v>0.75</v>
          </cell>
        </row>
        <row r="209">
          <cell r="A209" t="str">
            <v>NEGRESCO S.A. - CFI - PRUDENCIAL</v>
          </cell>
          <cell r="D209">
            <v>1</v>
          </cell>
        </row>
        <row r="210">
          <cell r="A210" t="str">
            <v>FINAMAX S.A. CFI - PRUDENCIAL</v>
          </cell>
          <cell r="D210">
            <v>0.25</v>
          </cell>
        </row>
        <row r="211">
          <cell r="A211" t="str">
            <v>TENTOS CFI - PRUDENCIAL</v>
          </cell>
          <cell r="D211">
            <v>0.25</v>
          </cell>
        </row>
        <row r="212">
          <cell r="A212" t="str">
            <v>BGC LIQUIDEZ DTVM LTDA - PRUDENCIAL</v>
          </cell>
          <cell r="D212">
            <v>0.75</v>
          </cell>
        </row>
        <row r="213">
          <cell r="A213" t="str">
            <v>ONEKEY PAYMENTS IP - PRUDENCIAL</v>
          </cell>
          <cell r="D213">
            <v>0.75</v>
          </cell>
        </row>
        <row r="214">
          <cell r="A214" t="str">
            <v>SANTINVEST - PRUDENCIAL</v>
          </cell>
          <cell r="D214">
            <v>0.75</v>
          </cell>
        </row>
        <row r="215">
          <cell r="A215" t="str">
            <v>BEES IP - PRUDENCIAL</v>
          </cell>
          <cell r="D215">
            <v>0.75</v>
          </cell>
        </row>
        <row r="216">
          <cell r="A216" t="str">
            <v>VIC DTVM S/A - PRUDENCIAL</v>
          </cell>
          <cell r="D216">
            <v>0.75</v>
          </cell>
        </row>
        <row r="217">
          <cell r="A217" t="str">
            <v>OXY CH - PRUDENCIAL</v>
          </cell>
          <cell r="D217">
            <v>0.75</v>
          </cell>
        </row>
        <row r="218">
          <cell r="A218" t="str">
            <v>LAUNCH PAD SCD - PRUDENCIAL</v>
          </cell>
          <cell r="D218">
            <v>0.75</v>
          </cell>
        </row>
        <row r="219">
          <cell r="A219" t="str">
            <v>PAGUEVELOZ IP - PRUDENCIAL</v>
          </cell>
          <cell r="D219">
            <v>0.75</v>
          </cell>
        </row>
        <row r="220">
          <cell r="A220" t="str">
            <v>STRADA PAY IP - PRUDENCIAL</v>
          </cell>
          <cell r="D220">
            <v>0.25</v>
          </cell>
        </row>
        <row r="221">
          <cell r="A221" t="str">
            <v>OPEA SCD - PRUDENCIAL</v>
          </cell>
          <cell r="D221">
            <v>0.75</v>
          </cell>
        </row>
        <row r="222">
          <cell r="A222" t="str">
            <v>STONEX DTVM - PRUDENCIAL</v>
          </cell>
          <cell r="D222">
            <v>1</v>
          </cell>
        </row>
        <row r="223">
          <cell r="A223" t="str">
            <v>WESTERN UNION - PRUDENCIAL</v>
          </cell>
          <cell r="D223">
            <v>0.75</v>
          </cell>
        </row>
        <row r="224">
          <cell r="A224" t="str">
            <v>BK IP - PRUDENCIAL</v>
          </cell>
          <cell r="D224">
            <v>0.75</v>
          </cell>
        </row>
        <row r="225">
          <cell r="A225" t="str">
            <v>ACG IP - PRUDENCIAL</v>
          </cell>
          <cell r="D225">
            <v>0.75</v>
          </cell>
        </row>
        <row r="226">
          <cell r="A226" t="str">
            <v>BRAZA BANK BCO CÂMBIO - PRUDENCIAL</v>
          </cell>
          <cell r="D226">
            <v>0.75</v>
          </cell>
        </row>
        <row r="227">
          <cell r="A227" t="str">
            <v>ATIVA S.A. CTCV - PRUDENCIAL</v>
          </cell>
          <cell r="D227">
            <v>0.25</v>
          </cell>
        </row>
        <row r="228">
          <cell r="A228" t="str">
            <v>AVENUE SECURITIES DTVM - PRUDENCIAL</v>
          </cell>
          <cell r="D228">
            <v>0.75</v>
          </cell>
        </row>
        <row r="229">
          <cell r="A229" t="str">
            <v>EQI INVESTIMENTOS CTVM - PRUDENCIAL</v>
          </cell>
          <cell r="D229">
            <v>1</v>
          </cell>
        </row>
        <row r="230">
          <cell r="A230" t="str">
            <v>TRANSFEERA IP - PRUDENCIAL</v>
          </cell>
          <cell r="D230">
            <v>1</v>
          </cell>
        </row>
        <row r="231">
          <cell r="A231" t="str">
            <v>AFEAM - PRUDENCIAL</v>
          </cell>
          <cell r="D231">
            <v>0.75</v>
          </cell>
        </row>
        <row r="232">
          <cell r="A232" t="str">
            <v>DELCRED SCD - PRUDENCIAL</v>
          </cell>
          <cell r="D232">
            <v>0.75</v>
          </cell>
        </row>
        <row r="233">
          <cell r="A233" t="str">
            <v>COOPER CARD IP - PRUDENCIAL</v>
          </cell>
          <cell r="D233">
            <v>0.75</v>
          </cell>
        </row>
        <row r="234">
          <cell r="A234" t="str">
            <v>SINOSSERRA FINANCEIRA S/A - PRUDENCIAL</v>
          </cell>
          <cell r="D234">
            <v>1</v>
          </cell>
        </row>
        <row r="235">
          <cell r="A235" t="str">
            <v>EBURY BANCO DE CÂMBIO - PRUDENCIAL</v>
          </cell>
          <cell r="D235">
            <v>0.75</v>
          </cell>
        </row>
        <row r="236">
          <cell r="A236" t="str">
            <v>AGÊNCIA DE FOMENTO MATO GROSSO - PRUDENCIAL</v>
          </cell>
          <cell r="D236">
            <v>0.25</v>
          </cell>
        </row>
        <row r="237">
          <cell r="A237" t="str">
            <v>PLUXEE IP - PRUDENCIAL</v>
          </cell>
          <cell r="D237">
            <v>0.75</v>
          </cell>
        </row>
        <row r="238">
          <cell r="A238" t="str">
            <v>CARTOS SCD - PRUDENCIAL</v>
          </cell>
          <cell r="D238">
            <v>0.75</v>
          </cell>
        </row>
        <row r="239">
          <cell r="A239" t="str">
            <v>SUL AMERICA INVEST DTVM S.A. - PRUDENCIAL</v>
          </cell>
          <cell r="D239">
            <v>1</v>
          </cell>
        </row>
        <row r="240">
          <cell r="A240" t="str">
            <v>EAGLE SCD - PRUDENCIAL</v>
          </cell>
          <cell r="D240">
            <v>1</v>
          </cell>
        </row>
        <row r="241">
          <cell r="A241" t="str">
            <v>MONTE BRAVO CTVM - PRUDENCIAL</v>
          </cell>
          <cell r="D241">
            <v>0.25</v>
          </cell>
        </row>
        <row r="242">
          <cell r="A242" t="str">
            <v>TULLETT PREBON BRASIL S.A. CTVM - PRUDENCIAL</v>
          </cell>
          <cell r="D242">
            <v>0.75</v>
          </cell>
        </row>
        <row r="243">
          <cell r="A243" t="str">
            <v>C&amp;A PAY SCD - PRUDENCIAL</v>
          </cell>
          <cell r="D243">
            <v>0.75</v>
          </cell>
        </row>
        <row r="244">
          <cell r="A244" t="str">
            <v>BRINKS PAY IP - PRUDENCIAL</v>
          </cell>
          <cell r="D244">
            <v>0.75</v>
          </cell>
        </row>
        <row r="245">
          <cell r="A245" t="str">
            <v>MAF-BRL TRUST - PRUDENCIAL</v>
          </cell>
          <cell r="D245">
            <v>1</v>
          </cell>
        </row>
        <row r="246">
          <cell r="A246" t="str">
            <v>PAY4FUN IP S.A. - PRUDENCIAL</v>
          </cell>
          <cell r="D246">
            <v>0.25</v>
          </cell>
        </row>
        <row r="247">
          <cell r="A247" t="str">
            <v>URBANO SCFI - PRUDENCIAL</v>
          </cell>
          <cell r="D247">
            <v>0.75</v>
          </cell>
        </row>
        <row r="248">
          <cell r="A248" t="str">
            <v>ASA SCD - PRUDENCIAL</v>
          </cell>
          <cell r="D248">
            <v>0.75</v>
          </cell>
        </row>
        <row r="249">
          <cell r="A249" t="str">
            <v>BCO LA PROVINCIA B AIRES BCE - PRUDENCIAL</v>
          </cell>
          <cell r="D249">
            <v>0.25</v>
          </cell>
        </row>
        <row r="250">
          <cell r="A250" t="str">
            <v>MERCADO BITCOIN IP - PRUDENCIAL</v>
          </cell>
          <cell r="D250">
            <v>0.75</v>
          </cell>
        </row>
        <row r="251">
          <cell r="A251" t="str">
            <v>OSLO CAPITAL DTVM S.A. - PRUDENCIAL</v>
          </cell>
          <cell r="D251">
            <v>0.75</v>
          </cell>
        </row>
        <row r="252">
          <cell r="A252" t="str">
            <v>PLANTAE CFI - PRUDENCIAL</v>
          </cell>
          <cell r="D252">
            <v>0.75</v>
          </cell>
        </row>
        <row r="253">
          <cell r="A253" t="str">
            <v>PLANNER - PRUDENCIAL</v>
          </cell>
          <cell r="D253">
            <v>0.5</v>
          </cell>
        </row>
        <row r="254">
          <cell r="A254" t="str">
            <v>SERVNET IP - PRUDENCIAL</v>
          </cell>
          <cell r="D254">
            <v>0.25</v>
          </cell>
        </row>
        <row r="255">
          <cell r="A255" t="str">
            <v>BCO LA NACION ARGENTINA - PRUDENCIAL</v>
          </cell>
          <cell r="D255">
            <v>0.25</v>
          </cell>
        </row>
        <row r="256">
          <cell r="A256" t="str">
            <v>CAPPTA IP - PRUDENCIAL</v>
          </cell>
          <cell r="D256">
            <v>0.75</v>
          </cell>
        </row>
        <row r="257">
          <cell r="A257" t="str">
            <v>SRM BANK IP - PRUDENCIAL</v>
          </cell>
          <cell r="D257">
            <v>0.75</v>
          </cell>
        </row>
        <row r="258">
          <cell r="A258" t="str">
            <v>ROADCARD IP - PRUDENCIAL</v>
          </cell>
          <cell r="D258">
            <v>1</v>
          </cell>
        </row>
        <row r="259">
          <cell r="A259" t="str">
            <v>PIAUÍ FOMENTO - PRUDENCIAL</v>
          </cell>
          <cell r="D259">
            <v>0.75</v>
          </cell>
        </row>
        <row r="260">
          <cell r="A260" t="str">
            <v>PAGSMILE IP - PRUDENCIAL</v>
          </cell>
          <cell r="D260">
            <v>0.75</v>
          </cell>
        </row>
        <row r="261">
          <cell r="A261" t="str">
            <v>CREDITÁ S.A. CFI - PRUDENCIAL</v>
          </cell>
          <cell r="D261">
            <v>0.75</v>
          </cell>
        </row>
        <row r="262">
          <cell r="A262" t="str">
            <v>FFCRED SCD - PRUDENCIAL</v>
          </cell>
          <cell r="D262">
            <v>0.75</v>
          </cell>
        </row>
        <row r="263">
          <cell r="A263" t="str">
            <v>INOVANTI IP - PRUDENCIAL</v>
          </cell>
          <cell r="D263">
            <v>0.75</v>
          </cell>
        </row>
        <row r="264">
          <cell r="A264" t="str">
            <v>ACTUAL DTVM - PRUDENCIAL</v>
          </cell>
          <cell r="D264">
            <v>0.5</v>
          </cell>
        </row>
        <row r="265">
          <cell r="A265" t="str">
            <v>SEFER INVESTIMENTOS DTVM - PRUDENCIAL</v>
          </cell>
          <cell r="D265">
            <v>0.75</v>
          </cell>
        </row>
        <row r="266">
          <cell r="A266" t="str">
            <v>GOOGLE PAY BRASIL IP - PRUDENCIAL</v>
          </cell>
          <cell r="D266">
            <v>0.75</v>
          </cell>
        </row>
        <row r="267">
          <cell r="A267" t="str">
            <v>ACQIO ADQUIRENCIA IP - PRUDENCIAL</v>
          </cell>
          <cell r="D267">
            <v>0.25</v>
          </cell>
        </row>
        <row r="268">
          <cell r="A268" t="str">
            <v>LECCA - PRUDENCIAL</v>
          </cell>
          <cell r="D268">
            <v>0.25</v>
          </cell>
        </row>
        <row r="269">
          <cell r="A269" t="str">
            <v>CM CAPITAL MARKETS - PRUDENCIAL</v>
          </cell>
          <cell r="D269">
            <v>0.25</v>
          </cell>
        </row>
        <row r="270">
          <cell r="A270" t="str">
            <v>POMELO IP - PRUDENCIAL</v>
          </cell>
          <cell r="D270">
            <v>0.25</v>
          </cell>
        </row>
        <row r="271">
          <cell r="A271" t="str">
            <v>NOVA FUTURA CTVM LTDA - PRUDENCIAL</v>
          </cell>
          <cell r="D271">
            <v>0.5</v>
          </cell>
        </row>
        <row r="272">
          <cell r="A272" t="str">
            <v>BELLUNO IP - PRUDENCIAL</v>
          </cell>
          <cell r="D272">
            <v>0.25</v>
          </cell>
        </row>
        <row r="273">
          <cell r="A273" t="str">
            <v>FLAGSHIP IP - PRUDENCIAL</v>
          </cell>
          <cell r="D273">
            <v>0.75</v>
          </cell>
        </row>
        <row r="274">
          <cell r="A274" t="str">
            <v>ATRIA S.A. - CFI - PRUDENCIAL</v>
          </cell>
          <cell r="D274">
            <v>0.75</v>
          </cell>
        </row>
        <row r="275">
          <cell r="A275" t="str">
            <v>JBCRED S.A. SCFI - PRUDENCIAL</v>
          </cell>
          <cell r="D275">
            <v>0.75</v>
          </cell>
        </row>
        <row r="276">
          <cell r="A276" t="str">
            <v>BANCO RNX S.A. - PRUDENCIAL</v>
          </cell>
          <cell r="D276">
            <v>0.75</v>
          </cell>
        </row>
        <row r="277">
          <cell r="A277" t="str">
            <v>REVOLUT SCD - PRUDENCIAL</v>
          </cell>
          <cell r="D277">
            <v>0.25</v>
          </cell>
        </row>
        <row r="278">
          <cell r="A278" t="str">
            <v>FORIS GFS BR IP - PRUDENCIAL</v>
          </cell>
          <cell r="D278">
            <v>0.75</v>
          </cell>
        </row>
        <row r="279">
          <cell r="A279" t="str">
            <v>ZERO IP - PRUDENCIAL</v>
          </cell>
          <cell r="D279">
            <v>0.25</v>
          </cell>
        </row>
        <row r="280">
          <cell r="A280" t="str">
            <v>NVIO BRASIL BITSO IP - PRUDENCIAL</v>
          </cell>
          <cell r="D280">
            <v>0.75</v>
          </cell>
        </row>
        <row r="281">
          <cell r="A281" t="str">
            <v>GALAPAGOS CAPITAL DTVM - PRUDENCIAL</v>
          </cell>
          <cell r="D281">
            <v>0.5</v>
          </cell>
        </row>
        <row r="282">
          <cell r="A282" t="str">
            <v>TRIO IP - PRUDENCIAL</v>
          </cell>
          <cell r="D282">
            <v>0.75</v>
          </cell>
        </row>
        <row r="283">
          <cell r="A283" t="str">
            <v>PAGCERTO IP - PRUDENCIAL</v>
          </cell>
          <cell r="D283">
            <v>0.75</v>
          </cell>
        </row>
        <row r="284">
          <cell r="A284" t="str">
            <v>SITA SCCVM S.A. - PRUDENCIAL</v>
          </cell>
          <cell r="D284">
            <v>0.5</v>
          </cell>
        </row>
        <row r="285">
          <cell r="A285" t="str">
            <v>CLARO PAY IP - PRUDENCIAL</v>
          </cell>
          <cell r="D285">
            <v>0.25</v>
          </cell>
        </row>
        <row r="286">
          <cell r="A286" t="str">
            <v>AGENCIA DE FOMENTO DO RN S.A. - PRUDENCIAL</v>
          </cell>
          <cell r="D286">
            <v>0.75</v>
          </cell>
        </row>
        <row r="287">
          <cell r="A287" t="str">
            <v>LIONS TRUST DTVM PRUDENCIAL</v>
          </cell>
          <cell r="D287">
            <v>0.75</v>
          </cell>
        </row>
        <row r="288">
          <cell r="A288" t="str">
            <v>GRAZZIOTIN FINANCEIRA - PRUDENCIAL</v>
          </cell>
          <cell r="D288">
            <v>0.75</v>
          </cell>
        </row>
        <row r="289">
          <cell r="A289" t="str">
            <v>FAIR CC S.A. - PRUDENCIAL</v>
          </cell>
          <cell r="D289">
            <v>0.75</v>
          </cell>
        </row>
        <row r="290">
          <cell r="A290" t="str">
            <v>BCO CEDULA S.A. - PRUDENCIAL</v>
          </cell>
          <cell r="D290">
            <v>1</v>
          </cell>
        </row>
        <row r="291">
          <cell r="A291" t="str">
            <v>BCO INDUSCRED DE INVESTIM. S/A - PRUDENCIAL</v>
          </cell>
          <cell r="D291">
            <v>0.75</v>
          </cell>
        </row>
        <row r="292">
          <cell r="A292" t="str">
            <v>KANASTRA FINANCEIRA CFI - PRUDENCIAL</v>
          </cell>
          <cell r="D292">
            <v>0.75</v>
          </cell>
        </row>
        <row r="293">
          <cell r="A293" t="str">
            <v>ACCREDITO SCD - PRUDENCIAL</v>
          </cell>
          <cell r="D293">
            <v>0.5</v>
          </cell>
        </row>
        <row r="294">
          <cell r="A294" t="str">
            <v>FIDUCIA SCMEPP LTDA - PRUDENCIAL</v>
          </cell>
          <cell r="D294">
            <v>0.75</v>
          </cell>
        </row>
        <row r="295">
          <cell r="A295" t="str">
            <v>AF ESTADO DE PERNAMBUCO S.A. - PRUDENCIAL</v>
          </cell>
          <cell r="D295">
            <v>0.25</v>
          </cell>
        </row>
        <row r="296">
          <cell r="A296" t="str">
            <v>Z-ON SCD - PRUDENCIAL</v>
          </cell>
          <cell r="D296">
            <v>0.75</v>
          </cell>
        </row>
        <row r="297">
          <cell r="A297" t="str">
            <v>LP DO BRASIL IP - PRUDENCIAL</v>
          </cell>
          <cell r="D297">
            <v>0.25</v>
          </cell>
        </row>
        <row r="298">
          <cell r="A298" t="str">
            <v>ADVANCED CC LTDA - PRUDENCIAL</v>
          </cell>
          <cell r="D298">
            <v>0.75</v>
          </cell>
        </row>
        <row r="299">
          <cell r="A299" t="str">
            <v>DIRECAO S.A. CFI - PRUDENCIAL</v>
          </cell>
          <cell r="D299">
            <v>0.75</v>
          </cell>
        </row>
        <row r="300">
          <cell r="A300" t="str">
            <v>AG. FOMENTO ESTADO DO TOCANTINS - PRUDENCIAL</v>
          </cell>
          <cell r="D300">
            <v>0.5</v>
          </cell>
        </row>
        <row r="301">
          <cell r="A301" t="str">
            <v>HINOVA PAY IP - PRUDENCIAL</v>
          </cell>
          <cell r="D301">
            <v>0.75</v>
          </cell>
        </row>
        <row r="302">
          <cell r="A302" t="str">
            <v>CONTA PRONTA IP - PRUDENCIAL</v>
          </cell>
          <cell r="D302">
            <v>0.5</v>
          </cell>
        </row>
        <row r="303">
          <cell r="A303" t="str">
            <v>HEMERA DTVM - PRUDENCIAL</v>
          </cell>
          <cell r="D303">
            <v>0.75</v>
          </cell>
        </row>
        <row r="304">
          <cell r="A304" t="str">
            <v>CREDITAS SCD - PRUDENCIAL</v>
          </cell>
          <cell r="D304">
            <v>0.25</v>
          </cell>
        </row>
        <row r="305">
          <cell r="A305" t="str">
            <v>UY3 SCD - PRUDENCIAL</v>
          </cell>
          <cell r="D305">
            <v>0.75</v>
          </cell>
        </row>
        <row r="306">
          <cell r="A306" t="str">
            <v>ID CTVM - PRUDENCIAL</v>
          </cell>
          <cell r="D306">
            <v>0.75</v>
          </cell>
        </row>
        <row r="307">
          <cell r="A307" t="str">
            <v>H.H.PICCHIONI - PRUDENCIAL</v>
          </cell>
          <cell r="D307">
            <v>0.25</v>
          </cell>
        </row>
        <row r="308">
          <cell r="A308" t="str">
            <v>ARTTA SCD PRUDENCIAL</v>
          </cell>
          <cell r="D308">
            <v>0.75</v>
          </cell>
        </row>
        <row r="309">
          <cell r="A309" t="str">
            <v>ECONOMIA CI S.A.-ECONOMISA - PRUDENCIAL</v>
          </cell>
          <cell r="D309">
            <v>0.5</v>
          </cell>
        </row>
        <row r="310">
          <cell r="A310" t="str">
            <v>PAGOL SCD - PRUDENCIAL</v>
          </cell>
          <cell r="D310">
            <v>0.25</v>
          </cell>
        </row>
        <row r="311">
          <cell r="A311" t="str">
            <v>MOVA SEP - PRUDENCIAL</v>
          </cell>
          <cell r="D311">
            <v>0.25</v>
          </cell>
        </row>
        <row r="312">
          <cell r="A312" t="str">
            <v>MONEYCORP - PRUDENCIAL</v>
          </cell>
          <cell r="D312">
            <v>0.75</v>
          </cell>
        </row>
        <row r="313">
          <cell r="A313" t="str">
            <v>PAYMEE BRASIL IP - PRUDENCIAL</v>
          </cell>
          <cell r="D313">
            <v>0.25</v>
          </cell>
        </row>
        <row r="314">
          <cell r="A314" t="str">
            <v>OM DTVM LTDA - PRUDENCIAL</v>
          </cell>
          <cell r="D314">
            <v>0.75</v>
          </cell>
        </row>
        <row r="315">
          <cell r="A315" t="str">
            <v>CREFAZ SCMEPP - PRUDENCIAL</v>
          </cell>
          <cell r="D315">
            <v>0.75</v>
          </cell>
        </row>
        <row r="316">
          <cell r="A316" t="str">
            <v>PROTEGE CASH IP PRUDENCIAL</v>
          </cell>
          <cell r="D316">
            <v>0.25</v>
          </cell>
        </row>
        <row r="317">
          <cell r="A317" t="str">
            <v>SOMAPAY SCD - PRUDENCIAL</v>
          </cell>
          <cell r="D317">
            <v>0.75</v>
          </cell>
        </row>
        <row r="318">
          <cell r="A318" t="str">
            <v>CODEPE CORRETORA DE VAL. S.A. - PRUDENCIAL</v>
          </cell>
          <cell r="D318">
            <v>0.75</v>
          </cell>
        </row>
        <row r="319">
          <cell r="A319" t="str">
            <v>AFAL - PRUDENCIAL</v>
          </cell>
          <cell r="D319">
            <v>0.25</v>
          </cell>
        </row>
        <row r="320">
          <cell r="A320" t="str">
            <v>SUPERBID PAY IP - PRUDENCIAL</v>
          </cell>
          <cell r="D320">
            <v>0.25</v>
          </cell>
        </row>
        <row r="321">
          <cell r="A321" t="str">
            <v>INTEX BANK BCO CÂMBIO - PRUDENCIAL</v>
          </cell>
          <cell r="D321">
            <v>0.5</v>
          </cell>
        </row>
        <row r="322">
          <cell r="A322" t="str">
            <v>FINNET S/A TECNOLOGIA E IP - PRUDENCIAL</v>
          </cell>
          <cell r="D322">
            <v>0.25</v>
          </cell>
        </row>
        <row r="323">
          <cell r="A323" t="str">
            <v>VALOR CFI - PRUDENCIAL</v>
          </cell>
          <cell r="D323">
            <v>0.75</v>
          </cell>
        </row>
        <row r="324">
          <cell r="A324" t="str">
            <v>CAPITAL CONSIG SCD - PRUDENCIAL</v>
          </cell>
          <cell r="D324">
            <v>0.75</v>
          </cell>
        </row>
        <row r="325">
          <cell r="A325" t="str">
            <v>NG CASH IP - PRUDENCIAL</v>
          </cell>
          <cell r="D325">
            <v>0.25</v>
          </cell>
        </row>
        <row r="326">
          <cell r="A326" t="str">
            <v>MICROCASH SCMEPP - PRUDENCIAL</v>
          </cell>
          <cell r="D326">
            <v>0.25</v>
          </cell>
        </row>
        <row r="327">
          <cell r="A327" t="str">
            <v>BRASIL CASH IP - PRUDENCIAL</v>
          </cell>
          <cell r="D327">
            <v>0.25</v>
          </cell>
        </row>
        <row r="328">
          <cell r="A328" t="str">
            <v>DANK SCD - PRUDENCIAL</v>
          </cell>
          <cell r="D328">
            <v>0.25</v>
          </cell>
        </row>
        <row r="329">
          <cell r="A329" t="str">
            <v>AZUMI DTVM PRUDENCIAL</v>
          </cell>
          <cell r="D329">
            <v>0.25</v>
          </cell>
        </row>
        <row r="330">
          <cell r="A330" t="str">
            <v>GERAL CCVM LTDA - PRUDENCIAL</v>
          </cell>
          <cell r="D330">
            <v>0.25</v>
          </cell>
        </row>
        <row r="331">
          <cell r="A331" t="str">
            <v>GUITTA CC LTDA - PRUDENCIAL</v>
          </cell>
          <cell r="D331">
            <v>0.5</v>
          </cell>
        </row>
        <row r="332">
          <cell r="A332" t="str">
            <v>TAMBASA SCD - PRUDENCIAL</v>
          </cell>
          <cell r="D332">
            <v>0.75</v>
          </cell>
        </row>
        <row r="333">
          <cell r="A333" t="str">
            <v>HEDGEPOINT GLOBAL MARKETS DTVM - PRUDENCIAL</v>
          </cell>
          <cell r="D333">
            <v>0.75</v>
          </cell>
        </row>
        <row r="334">
          <cell r="A334" t="str">
            <v>SMART SOLUTIONS GROUP IP - PRUDENCIAL</v>
          </cell>
          <cell r="D334">
            <v>0.75</v>
          </cell>
        </row>
        <row r="335">
          <cell r="A335" t="str">
            <v>FINAXIS - PRUDENCIAL</v>
          </cell>
          <cell r="D335">
            <v>0.25</v>
          </cell>
        </row>
        <row r="336">
          <cell r="A336" t="str">
            <v>TTSCD SCD - PRUDENCIAL</v>
          </cell>
          <cell r="D336">
            <v>0.25</v>
          </cell>
        </row>
        <row r="337">
          <cell r="A337" t="str">
            <v>PAY2ALL IP - PRUDENCIAL</v>
          </cell>
          <cell r="D337">
            <v>0.75</v>
          </cell>
        </row>
        <row r="338">
          <cell r="A338" t="str">
            <v>ISSUER IP - PRUDENCIAL</v>
          </cell>
          <cell r="D338">
            <v>0.25</v>
          </cell>
        </row>
        <row r="339">
          <cell r="A339" t="str">
            <v>GOLCRED - PRUDENCIAL</v>
          </cell>
          <cell r="D339">
            <v>0.5</v>
          </cell>
        </row>
        <row r="340">
          <cell r="A340" t="str">
            <v>SIMPAUL CCVM - PRUDENCIAL</v>
          </cell>
          <cell r="D340">
            <v>0.75</v>
          </cell>
        </row>
        <row r="341">
          <cell r="A341" t="str">
            <v>RED SCD - PRUDENCIAL</v>
          </cell>
          <cell r="D341">
            <v>0.25</v>
          </cell>
        </row>
        <row r="342">
          <cell r="A342" t="str">
            <v>TRINUS CAPITAL DTVM - PRUDENCIAL</v>
          </cell>
          <cell r="D342">
            <v>0.25</v>
          </cell>
        </row>
        <row r="343">
          <cell r="A343" t="str">
            <v>WE PAY OUT IP - PRUDENCIAL</v>
          </cell>
          <cell r="D343">
            <v>0.25</v>
          </cell>
        </row>
        <row r="344">
          <cell r="A344" t="str">
            <v>PAGHIPER IP - PRUDENCIAL</v>
          </cell>
          <cell r="D344">
            <v>0.75</v>
          </cell>
        </row>
        <row r="345">
          <cell r="A345" t="str">
            <v>LISTO IP - PRUDENCIAL</v>
          </cell>
          <cell r="D345">
            <v>0.75</v>
          </cell>
        </row>
        <row r="346">
          <cell r="A346" t="str">
            <v>RB INVESTIMENTOS DTVM - PRUDENCIAL</v>
          </cell>
          <cell r="D346">
            <v>0.25</v>
          </cell>
        </row>
        <row r="347">
          <cell r="A347" t="str">
            <v>UNIDA DTVM LTDA - PRUDENCIAL</v>
          </cell>
          <cell r="D347">
            <v>0.25</v>
          </cell>
        </row>
        <row r="348">
          <cell r="A348" t="str">
            <v>AGK CC S.A. - PRUDENCIAL</v>
          </cell>
          <cell r="D348">
            <v>0.5</v>
          </cell>
        </row>
        <row r="349">
          <cell r="A349" t="str">
            <v>PINTOS CFI - PRUDENCIAL</v>
          </cell>
          <cell r="D349">
            <v>0.75</v>
          </cell>
        </row>
        <row r="350">
          <cell r="A350" t="str">
            <v>COMPREV CFI - PRUDENCIAL</v>
          </cell>
          <cell r="D350">
            <v>0.5</v>
          </cell>
        </row>
        <row r="351">
          <cell r="A351" t="str">
            <v>BANCO PORTO REAL DE INVEST.S.A - PRUDENCIAL</v>
          </cell>
          <cell r="D351">
            <v>0.5</v>
          </cell>
        </row>
        <row r="352">
          <cell r="A352" t="str">
            <v>PROTOTYPE IP - PRUDENCIAL</v>
          </cell>
          <cell r="D352">
            <v>0.75</v>
          </cell>
        </row>
        <row r="353">
          <cell r="A353" t="str">
            <v>BIGCASH SCD - PRUDENCIAL</v>
          </cell>
          <cell r="D353">
            <v>0.75</v>
          </cell>
        </row>
        <row r="354">
          <cell r="A354" t="str">
            <v>J17 SCD - PRUDENCIAL</v>
          </cell>
          <cell r="D354">
            <v>0.75</v>
          </cell>
        </row>
        <row r="355">
          <cell r="A355" t="str">
            <v>FRENTE CC - PRUDENCIAL</v>
          </cell>
          <cell r="D355">
            <v>0.25</v>
          </cell>
        </row>
        <row r="356">
          <cell r="A356" t="str">
            <v>PAGARE IP - PRUDENCIAL</v>
          </cell>
          <cell r="D356">
            <v>0.25</v>
          </cell>
        </row>
        <row r="357">
          <cell r="A357" t="str">
            <v>F D GOLD DTVM LTDA - PRUDENCIAL</v>
          </cell>
          <cell r="D357">
            <v>0.25</v>
          </cell>
        </row>
        <row r="358">
          <cell r="A358" t="str">
            <v>IP4Y IP - PRUDENCIAL</v>
          </cell>
          <cell r="D358">
            <v>0.75</v>
          </cell>
        </row>
        <row r="359">
          <cell r="A359" t="str">
            <v>TRADERS DTVM - PRUDENCIAL</v>
          </cell>
          <cell r="D359">
            <v>0.75</v>
          </cell>
        </row>
        <row r="360">
          <cell r="A360" t="str">
            <v>COINVALORES - PRUDENCIAL</v>
          </cell>
          <cell r="D360">
            <v>0.25</v>
          </cell>
        </row>
        <row r="361">
          <cell r="A361" t="str">
            <v>BPY CCTVM - PRUDENCIAL</v>
          </cell>
          <cell r="D361">
            <v>0.25</v>
          </cell>
        </row>
        <row r="362">
          <cell r="A362" t="str">
            <v>SER FINANCE SCD - PRUDENCIAL</v>
          </cell>
          <cell r="D362">
            <v>0.25</v>
          </cell>
        </row>
        <row r="363">
          <cell r="A363" t="str">
            <v>PARTNERBANK IP - PRUDENCIAL</v>
          </cell>
          <cell r="D363">
            <v>0.5</v>
          </cell>
        </row>
        <row r="364">
          <cell r="A364" t="str">
            <v>COBANSA CH S.A. - PRUDENCIAL</v>
          </cell>
          <cell r="D364">
            <v>0.5</v>
          </cell>
        </row>
        <row r="365">
          <cell r="A365" t="str">
            <v>BROKER BRASIL CC LTDA. - PRUDENCIAL</v>
          </cell>
          <cell r="D365">
            <v>0.75</v>
          </cell>
        </row>
        <row r="366">
          <cell r="A366" t="str">
            <v>WNT CAPITAL DTVM - PRUDENCIAL</v>
          </cell>
          <cell r="D366">
            <v>0.75</v>
          </cell>
        </row>
        <row r="367">
          <cell r="A367" t="str">
            <v>ASPECIR SCMEPP LTDA. - PRUDENCIAL</v>
          </cell>
          <cell r="D367">
            <v>0.25</v>
          </cell>
        </row>
        <row r="368">
          <cell r="A368" t="str">
            <v>CDC SCD - PRUDENCIAL</v>
          </cell>
          <cell r="D368">
            <v>0.5</v>
          </cell>
        </row>
        <row r="369">
          <cell r="A369" t="str">
            <v>SENSO CCVM S.A. - PRUDENCIAL</v>
          </cell>
          <cell r="D369">
            <v>0.25</v>
          </cell>
        </row>
        <row r="370">
          <cell r="A370" t="str">
            <v>FACILITA IP - PRUDENCIAL</v>
          </cell>
          <cell r="D370">
            <v>0.75</v>
          </cell>
        </row>
        <row r="371">
          <cell r="A371" t="str">
            <v>BNK DIGITAL SCD - PRUDENCIAL</v>
          </cell>
          <cell r="D371">
            <v>0.5</v>
          </cell>
        </row>
        <row r="372">
          <cell r="A372" t="str">
            <v>AG. FOMENTO ESTADO DE RORAIMA - PRUDENCIAL</v>
          </cell>
          <cell r="D372">
            <v>0.75</v>
          </cell>
        </row>
        <row r="373">
          <cell r="A373" t="str">
            <v>VIA CAPITAL SCD - PRUDENCIAL</v>
          </cell>
          <cell r="D373">
            <v>0.5</v>
          </cell>
        </row>
        <row r="374">
          <cell r="A374" t="str">
            <v>GLOBAL EXCHANGE CC - PRUDENCIAL</v>
          </cell>
          <cell r="D374">
            <v>0.5</v>
          </cell>
        </row>
        <row r="375">
          <cell r="A375" t="str">
            <v>SOCIAL BANK BANCO MULTIPLO - PRUDENCIAL</v>
          </cell>
          <cell r="D375">
            <v>0.25</v>
          </cell>
        </row>
        <row r="376">
          <cell r="A376" t="str">
            <v>HEDGE INVESTMENTS - PRUDENCIAL</v>
          </cell>
          <cell r="D376">
            <v>0.5</v>
          </cell>
        </row>
        <row r="377">
          <cell r="A377" t="str">
            <v>INTEGRAL ACCESS DTVM - PRUDENCIAL</v>
          </cell>
          <cell r="D377">
            <v>0.25</v>
          </cell>
        </row>
        <row r="378">
          <cell r="A378" t="str">
            <v>SISPAY IP - PRUDENCIAL</v>
          </cell>
          <cell r="D378">
            <v>0.75</v>
          </cell>
        </row>
        <row r="379">
          <cell r="A379" t="str">
            <v>Z1 INSTITUIÇÃO DE PAGAMENTO - PRUDENCIAL</v>
          </cell>
          <cell r="D379">
            <v>0.25</v>
          </cell>
        </row>
        <row r="380">
          <cell r="A380" t="str">
            <v>UNAVANTI SCD - PRUDENCIAL</v>
          </cell>
          <cell r="D380">
            <v>0.5</v>
          </cell>
        </row>
        <row r="381">
          <cell r="A381" t="str">
            <v>BONUSPAGO SCD - PRUDENCIAL</v>
          </cell>
          <cell r="D381">
            <v>0.25</v>
          </cell>
        </row>
        <row r="382">
          <cell r="A382" t="str">
            <v>AG. FOMENTO AMAPA S.A. - PRUDENCIAL</v>
          </cell>
          <cell r="D382">
            <v>0.25</v>
          </cell>
        </row>
        <row r="383">
          <cell r="A383" t="str">
            <v>AMARIL FRANKLIN CTV LTDA - PRUDENCIAL</v>
          </cell>
          <cell r="D383">
            <v>0.5</v>
          </cell>
        </row>
        <row r="384">
          <cell r="A384" t="str">
            <v>OZ CC - PRUDENCIAL</v>
          </cell>
          <cell r="D384">
            <v>0.5</v>
          </cell>
        </row>
        <row r="385">
          <cell r="A385" t="str">
            <v>FAMILIA PAULISTA CI S.A. - PRUDENCIAL</v>
          </cell>
          <cell r="D385">
            <v>0.5</v>
          </cell>
        </row>
        <row r="386">
          <cell r="A386" t="str">
            <v>LISTO SCD - PRUDENCIAL</v>
          </cell>
          <cell r="D386">
            <v>0.25</v>
          </cell>
        </row>
        <row r="387">
          <cell r="A387" t="str">
            <v>FACEBOOK INSTITUICAO PAGAMENTO - PRUDENCIAL</v>
          </cell>
          <cell r="D387">
            <v>0.75</v>
          </cell>
        </row>
        <row r="388">
          <cell r="A388" t="str">
            <v>EXIM CC LTDA - PRUDENCIAL</v>
          </cell>
          <cell r="D388">
            <v>0.5</v>
          </cell>
        </row>
        <row r="389">
          <cell r="A389" t="str">
            <v>H.COMMCOR DTVM LTDA. - PRUDENCIAL</v>
          </cell>
          <cell r="D389">
            <v>0.25</v>
          </cell>
        </row>
        <row r="390">
          <cell r="A390" t="str">
            <v>OPPORTUNITY - PRUDENCIAL</v>
          </cell>
          <cell r="D390">
            <v>0.25</v>
          </cell>
        </row>
        <row r="391">
          <cell r="A391" t="str">
            <v>COLUNA S.A. DTVM - PRUDENCIAL</v>
          </cell>
          <cell r="D391">
            <v>0.75</v>
          </cell>
        </row>
        <row r="392">
          <cell r="A392" t="str">
            <v>INVEST CC - PRUDENCIAL</v>
          </cell>
          <cell r="D392">
            <v>0.5</v>
          </cell>
        </row>
        <row r="393">
          <cell r="A393" t="str">
            <v>FÊNIX DTVM - PRUDENCIAL</v>
          </cell>
          <cell r="D393">
            <v>0.25</v>
          </cell>
        </row>
        <row r="394">
          <cell r="A394" t="str">
            <v>LEND SCD - PRUDENCIAL</v>
          </cell>
          <cell r="D394">
            <v>0.25</v>
          </cell>
        </row>
        <row r="395">
          <cell r="A395" t="str">
            <v>AZIMUT BRASIL DTVM - PRUDENCIAL</v>
          </cell>
          <cell r="D395">
            <v>0.25</v>
          </cell>
        </row>
        <row r="396">
          <cell r="A396" t="str">
            <v>LINA IP - PRUDENCIAL</v>
          </cell>
          <cell r="D396">
            <v>0.25</v>
          </cell>
        </row>
        <row r="397">
          <cell r="A397" t="str">
            <v>RIO BRAVO INVESTIMENTOS DTVM - PRUDENCIAL</v>
          </cell>
          <cell r="D397">
            <v>0.5</v>
          </cell>
        </row>
        <row r="398">
          <cell r="A398" t="str">
            <v>SOLFÁCIL SCFI - PRUDENCIAL</v>
          </cell>
          <cell r="D398">
            <v>0.5</v>
          </cell>
        </row>
        <row r="399">
          <cell r="A399" t="str">
            <v>WEALTH HIGH GOVERNANCE DTVM - PRUDENCIAL</v>
          </cell>
          <cell r="D399">
            <v>0.5</v>
          </cell>
        </row>
        <row r="400">
          <cell r="A400" t="str">
            <v>CONECTA CC LTDA - PRUDENCIAL</v>
          </cell>
          <cell r="D400">
            <v>0.75</v>
          </cell>
        </row>
        <row r="401">
          <cell r="A401" t="str">
            <v>INTERCAM CC LTDA - PRUDENCIAL</v>
          </cell>
          <cell r="D401">
            <v>0.25</v>
          </cell>
        </row>
        <row r="402">
          <cell r="A402" t="str">
            <v>QUADRA SCD - PRUDENCIAL</v>
          </cell>
          <cell r="D402">
            <v>0.5</v>
          </cell>
        </row>
        <row r="403">
          <cell r="A403" t="str">
            <v>RJI CTVM - PRUDENCIAL</v>
          </cell>
          <cell r="D403">
            <v>0.75</v>
          </cell>
        </row>
        <row r="404">
          <cell r="A404" t="str">
            <v>SUDACRED SCD - PRUDENCIAL</v>
          </cell>
          <cell r="D404">
            <v>0.75</v>
          </cell>
        </row>
        <row r="405">
          <cell r="A405" t="str">
            <v>FIDD DTVM - PRUDENCIAL</v>
          </cell>
          <cell r="D405">
            <v>0.75</v>
          </cell>
        </row>
        <row r="406">
          <cell r="A406" t="str">
            <v>MONETARIE SCD - PRUDENCIAL</v>
          </cell>
          <cell r="D406">
            <v>0.5</v>
          </cell>
        </row>
        <row r="407">
          <cell r="A407" t="str">
            <v>ATF SCD - PRUDENCIAL</v>
          </cell>
          <cell r="D407">
            <v>0.5</v>
          </cell>
        </row>
        <row r="408">
          <cell r="A408" t="str">
            <v>BEETELLERPAY IP - PRUDENCIAL</v>
          </cell>
          <cell r="D408">
            <v>0.75</v>
          </cell>
        </row>
        <row r="409">
          <cell r="A409" t="str">
            <v>EWALLY IP - PRUDENCIAL</v>
          </cell>
          <cell r="D409">
            <v>0.25</v>
          </cell>
        </row>
        <row r="410">
          <cell r="A410" t="str">
            <v>ACTIVTRADES CCTVM - PRUDENCIAL</v>
          </cell>
          <cell r="D410">
            <v>0.5</v>
          </cell>
        </row>
        <row r="411">
          <cell r="A411" t="str">
            <v>UZZIPAY IP - PRUDENCIAL</v>
          </cell>
          <cell r="D411">
            <v>0.25</v>
          </cell>
        </row>
        <row r="412">
          <cell r="A412" t="str">
            <v>LABOR CC - PRUDENCIAL</v>
          </cell>
          <cell r="D412">
            <v>0.25</v>
          </cell>
        </row>
        <row r="413">
          <cell r="A413" t="str">
            <v>G5 SCD - PRUDENCIAL</v>
          </cell>
          <cell r="D413">
            <v>0.5</v>
          </cell>
        </row>
        <row r="414">
          <cell r="A414" t="str">
            <v>ONCRED SCD - PRUDENCIAL</v>
          </cell>
          <cell r="D414">
            <v>0.75</v>
          </cell>
        </row>
        <row r="415">
          <cell r="A415" t="str">
            <v>GET MONEY CC - PRUDENCIAL</v>
          </cell>
          <cell r="D415">
            <v>0.5</v>
          </cell>
        </row>
        <row r="416">
          <cell r="A416" t="str">
            <v>FOURTRADE COR. DE CAMBIO LTDA - PRUDENCIAL</v>
          </cell>
          <cell r="D416">
            <v>0.5</v>
          </cell>
        </row>
        <row r="417">
          <cell r="A417" t="str">
            <v>DILLON S/A DTVM - PRUDENCIAL</v>
          </cell>
          <cell r="D417">
            <v>0.25</v>
          </cell>
        </row>
        <row r="418">
          <cell r="A418" t="str">
            <v>PAY BROKERS IP - PRUDENCIAL</v>
          </cell>
          <cell r="D418">
            <v>0.75</v>
          </cell>
        </row>
        <row r="419">
          <cell r="A419" t="str">
            <v>NIKOS DTVM - PRUDENCIAL</v>
          </cell>
          <cell r="D419">
            <v>0.25</v>
          </cell>
        </row>
        <row r="420">
          <cell r="A420" t="str">
            <v>ZM SCD PRUDENCIAL</v>
          </cell>
          <cell r="D420">
            <v>0.75</v>
          </cell>
        </row>
        <row r="421">
          <cell r="A421" t="str">
            <v>CC AÇORIANA LTDA. - PRUDENCIAL</v>
          </cell>
          <cell r="D421">
            <v>0.5</v>
          </cell>
        </row>
        <row r="422">
          <cell r="A422" t="str">
            <v>A27 IP - PRUDENCIAL</v>
          </cell>
          <cell r="D422">
            <v>0.5</v>
          </cell>
        </row>
        <row r="423">
          <cell r="A423" t="str">
            <v>LEV DTVM - PRUDENCIAL</v>
          </cell>
          <cell r="D423">
            <v>0.25</v>
          </cell>
        </row>
        <row r="424">
          <cell r="A424" t="str">
            <v>GALLERIA SCD - PRUDENCIAL</v>
          </cell>
          <cell r="D424">
            <v>0.25</v>
          </cell>
        </row>
        <row r="425">
          <cell r="A425" t="str">
            <v>BARU SCD - PRUDENCIAL</v>
          </cell>
          <cell r="D425">
            <v>0.5</v>
          </cell>
        </row>
        <row r="426">
          <cell r="A426" t="str">
            <v>MAGNUM SCD - PRUDENCIAL</v>
          </cell>
          <cell r="D426">
            <v>0.25</v>
          </cell>
        </row>
        <row r="427">
          <cell r="A427" t="str">
            <v>LEVYCAM CCV LTDA - PRUDENCIAL</v>
          </cell>
          <cell r="D427">
            <v>0.5</v>
          </cell>
        </row>
        <row r="428">
          <cell r="A428" t="str">
            <v>DAUX SCD - PRUDENCIAL</v>
          </cell>
          <cell r="D428">
            <v>0.5</v>
          </cell>
        </row>
        <row r="429">
          <cell r="A429" t="str">
            <v>SOCIALCRED S/A SCMEPP - PRUDENCIAL</v>
          </cell>
          <cell r="D429">
            <v>0.5</v>
          </cell>
        </row>
        <row r="430">
          <cell r="A430" t="str">
            <v>REMITLY CC LTDA. - PRUDENCIAL</v>
          </cell>
          <cell r="D430">
            <v>0.75</v>
          </cell>
        </row>
        <row r="431">
          <cell r="A431" t="str">
            <v>HSCM SCMEPP LTDA. - PRUDENCIAL</v>
          </cell>
          <cell r="D431">
            <v>0.5</v>
          </cell>
        </row>
        <row r="432">
          <cell r="A432" t="str">
            <v>CREDIFIT SCD - PRUDENCIAL</v>
          </cell>
          <cell r="D432">
            <v>0.5</v>
          </cell>
        </row>
        <row r="433">
          <cell r="A433" t="str">
            <v>PAGPRIME IP - PRUDENCIAL</v>
          </cell>
          <cell r="D433">
            <v>0.25</v>
          </cell>
        </row>
        <row r="434">
          <cell r="A434" t="str">
            <v>BRX CC LTDA. - PRUDENCIAL</v>
          </cell>
          <cell r="D434">
            <v>0.25</v>
          </cell>
        </row>
        <row r="435">
          <cell r="A435" t="str">
            <v>MULTICRED SCD - PRUDENCIAL</v>
          </cell>
          <cell r="D435">
            <v>0.5</v>
          </cell>
        </row>
        <row r="436">
          <cell r="A436" t="str">
            <v>WOOVI IP - PRUDENCIAL</v>
          </cell>
          <cell r="D436">
            <v>0.5</v>
          </cell>
        </row>
        <row r="437">
          <cell r="A437" t="str">
            <v>SCB CRÉDITO SCMEPP - PRUDENCIAL</v>
          </cell>
          <cell r="D437">
            <v>0.5</v>
          </cell>
        </row>
        <row r="438">
          <cell r="A438" t="str">
            <v>DUFRIO CFI - PRUDENCIAL</v>
          </cell>
          <cell r="D438">
            <v>0.25</v>
          </cell>
        </row>
        <row r="439">
          <cell r="A439" t="str">
            <v>GERU SCD - PRUDENCIAL</v>
          </cell>
          <cell r="D439">
            <v>0.5</v>
          </cell>
        </row>
        <row r="440">
          <cell r="A440" t="str">
            <v>RAPIDIUM SCMEPP - PRUDENCIAL</v>
          </cell>
          <cell r="D440">
            <v>0.25</v>
          </cell>
        </row>
        <row r="441">
          <cell r="A441" t="str">
            <v>UP.P SEP - PRUDENCIAL</v>
          </cell>
          <cell r="D441">
            <v>0.75</v>
          </cell>
        </row>
        <row r="442">
          <cell r="A442" t="str">
            <v>CONPAY IP - PRUDENCIAL</v>
          </cell>
          <cell r="D442">
            <v>0.75</v>
          </cell>
        </row>
        <row r="443">
          <cell r="A443" t="str">
            <v>HR DIGITAL SCD - PRUDENCIAL</v>
          </cell>
          <cell r="D443">
            <v>0.25</v>
          </cell>
        </row>
        <row r="444">
          <cell r="A444" t="str">
            <v>TURCAMBIO CC LTDA. - PRUDENCIAL</v>
          </cell>
          <cell r="D444">
            <v>0.5</v>
          </cell>
        </row>
        <row r="445">
          <cell r="A445" t="str">
            <v>PENTAGONO S/A DTVM - PRUDENCIAL</v>
          </cell>
          <cell r="D445">
            <v>0.75</v>
          </cell>
        </row>
        <row r="446">
          <cell r="A446" t="str">
            <v>MT IP - PRUDENCIAL</v>
          </cell>
          <cell r="D446">
            <v>0.5</v>
          </cell>
        </row>
        <row r="447">
          <cell r="A447" t="str">
            <v>APROMS NET IP - PRUDENCIAL</v>
          </cell>
          <cell r="D447">
            <v>0.5</v>
          </cell>
        </row>
        <row r="448">
          <cell r="A448" t="str">
            <v>SAYGO CC - PRUDENCIAL</v>
          </cell>
          <cell r="D448">
            <v>0.5</v>
          </cell>
        </row>
        <row r="449">
          <cell r="A449" t="str">
            <v>MONOPÓLIO CC - PRUDENCIAL</v>
          </cell>
          <cell r="D449">
            <v>0.25</v>
          </cell>
        </row>
        <row r="450">
          <cell r="A450" t="str">
            <v>MAG IP - PRUDENCIAL</v>
          </cell>
          <cell r="D450">
            <v>0.25</v>
          </cell>
        </row>
        <row r="451">
          <cell r="A451" t="str">
            <v>INTEGRAÇÃO DE CRÉDITO E COBRANÇA SCD - PRUDENCIAL</v>
          </cell>
          <cell r="D451">
            <v>0.5</v>
          </cell>
        </row>
        <row r="452">
          <cell r="A452" t="str">
            <v>LIMINE TRUST DTVM - PRUDENCIAL</v>
          </cell>
          <cell r="D452">
            <v>0.75</v>
          </cell>
        </row>
        <row r="453">
          <cell r="A453" t="str">
            <v>DGBK CREDIT SCD - PRUDENCIAL</v>
          </cell>
          <cell r="D453">
            <v>0.5</v>
          </cell>
        </row>
        <row r="454">
          <cell r="A454" t="str">
            <v>FONTECRED SCD - PRUDENCIAL</v>
          </cell>
          <cell r="D454">
            <v>0.25</v>
          </cell>
        </row>
        <row r="455">
          <cell r="A455" t="str">
            <v>TROCKA CC - PRUDENCIAL</v>
          </cell>
          <cell r="D455">
            <v>0.5</v>
          </cell>
        </row>
        <row r="456">
          <cell r="A456" t="str">
            <v>FINVEST DTVM - PRUDENCIAL</v>
          </cell>
          <cell r="D456">
            <v>0.5</v>
          </cell>
        </row>
        <row r="457">
          <cell r="A457" t="str">
            <v>PAY IP - PRUDENCIAL</v>
          </cell>
          <cell r="D457">
            <v>0.25</v>
          </cell>
        </row>
        <row r="458">
          <cell r="A458" t="str">
            <v>EXECUTIVE CC LTDA. - PRUDENCIAL</v>
          </cell>
          <cell r="D458">
            <v>0.5</v>
          </cell>
        </row>
        <row r="459">
          <cell r="A459" t="str">
            <v>VUON SCD - PRUDENCIAL</v>
          </cell>
          <cell r="D459">
            <v>0.25</v>
          </cell>
        </row>
        <row r="460">
          <cell r="A460" t="str">
            <v>ARC CORRETORA CAMBIO S.A. - PRUDENCIAL</v>
          </cell>
          <cell r="D460">
            <v>0.5</v>
          </cell>
        </row>
        <row r="461">
          <cell r="A461" t="str">
            <v>INTRA INVESTIMENTOS DTVM - PRUDENCIAL</v>
          </cell>
          <cell r="D461">
            <v>0.5</v>
          </cell>
        </row>
        <row r="462">
          <cell r="A462" t="str">
            <v>EFX CC LTDA. - PRUDENCIAL</v>
          </cell>
          <cell r="D462">
            <v>0.5</v>
          </cell>
        </row>
        <row r="463">
          <cell r="A463" t="str">
            <v>BR-CAPITAL DTVM S.A. - PRUDENCIAL</v>
          </cell>
          <cell r="D463">
            <v>0.5</v>
          </cell>
        </row>
        <row r="464">
          <cell r="A464" t="str">
            <v>INICIADOR IP - PRUDENCIAL</v>
          </cell>
          <cell r="D464">
            <v>0.75</v>
          </cell>
        </row>
        <row r="465">
          <cell r="A465" t="str">
            <v>MONERY IP - PRUDENCIAL</v>
          </cell>
          <cell r="D465">
            <v>0.5</v>
          </cell>
        </row>
        <row r="466">
          <cell r="A466" t="str">
            <v>N26 SCD - PRUDENCIAL</v>
          </cell>
          <cell r="D466">
            <v>0.25</v>
          </cell>
        </row>
        <row r="467">
          <cell r="A467" t="str">
            <v>IUPI IP - PRUDENCIAL</v>
          </cell>
          <cell r="D467">
            <v>0.5</v>
          </cell>
        </row>
        <row r="468">
          <cell r="A468" t="str">
            <v>DAPPER SCD - PRUDENCIAL</v>
          </cell>
          <cell r="D468">
            <v>0.5</v>
          </cell>
        </row>
        <row r="469">
          <cell r="A469" t="str">
            <v>PERCAPITAL SCD - PRUDENCIAL</v>
          </cell>
          <cell r="D469">
            <v>0.75</v>
          </cell>
        </row>
        <row r="470">
          <cell r="A470" t="str">
            <v>MOTTU SCD - PRUDENCIAL</v>
          </cell>
          <cell r="D470">
            <v>0.25</v>
          </cell>
        </row>
        <row r="471">
          <cell r="A471" t="str">
            <v>VERT DTVM - PRUDENCIAL</v>
          </cell>
          <cell r="D471">
            <v>0.5</v>
          </cell>
        </row>
        <row r="472">
          <cell r="A472" t="str">
            <v>BANSUR JM SCD - PRUDENCIAL</v>
          </cell>
          <cell r="D472">
            <v>0.25</v>
          </cell>
        </row>
        <row r="473">
          <cell r="A473" t="str">
            <v>ATICCA SCD PRUDENCIAL</v>
          </cell>
          <cell r="D473">
            <v>0.5</v>
          </cell>
        </row>
        <row r="474">
          <cell r="A474" t="str">
            <v>DOURADA CORRETORA - PRUDENCIAL</v>
          </cell>
          <cell r="D474">
            <v>0.5</v>
          </cell>
        </row>
        <row r="475">
          <cell r="A475" t="str">
            <v>BAMAQ CAPITAL SCD - PRUDENCIAL</v>
          </cell>
          <cell r="D475">
            <v>0.5</v>
          </cell>
        </row>
        <row r="476">
          <cell r="A476" t="str">
            <v>MUEVY IP - PRUDENCIAL</v>
          </cell>
          <cell r="D476">
            <v>0.25</v>
          </cell>
        </row>
        <row r="477">
          <cell r="A477" t="str">
            <v>MH SCD - PRUDENCIAL</v>
          </cell>
          <cell r="D477">
            <v>0.25</v>
          </cell>
        </row>
        <row r="478">
          <cell r="A478" t="str">
            <v>CAROL DTVM LTDA. - PRUDENCIAL</v>
          </cell>
          <cell r="D478">
            <v>0.5</v>
          </cell>
        </row>
        <row r="479">
          <cell r="A479" t="str">
            <v>ZIPDIN SCD - PRUDENCIAL</v>
          </cell>
          <cell r="D479">
            <v>0.5</v>
          </cell>
        </row>
        <row r="480">
          <cell r="A480" t="str">
            <v>NUMBRS SCD - PRUDENCIAL</v>
          </cell>
          <cell r="D480">
            <v>0.5</v>
          </cell>
        </row>
        <row r="481">
          <cell r="A481" t="str">
            <v>CV INVESTIMENTOS DTVM - PRUDENCIAL</v>
          </cell>
          <cell r="D481">
            <v>0.25</v>
          </cell>
        </row>
        <row r="482">
          <cell r="A482" t="str">
            <v>DELTA GLOBAL SCD - PRUDENCIAL</v>
          </cell>
          <cell r="D482">
            <v>0.25</v>
          </cell>
        </row>
        <row r="483">
          <cell r="A483" t="str">
            <v>BCP SECURITIES DTVM - PRUDENCIAL</v>
          </cell>
          <cell r="D483">
            <v>0.25</v>
          </cell>
        </row>
        <row r="484">
          <cell r="A484" t="str">
            <v>DASCAM CC LTDA - PRUDENCIAL</v>
          </cell>
          <cell r="D484">
            <v>0.25</v>
          </cell>
        </row>
        <row r="485">
          <cell r="A485" t="str">
            <v>PALMA SCD - PRUDENCIAL</v>
          </cell>
          <cell r="D485">
            <v>0.5</v>
          </cell>
        </row>
        <row r="486">
          <cell r="A486" t="str">
            <v>INCO SEP - PRUDENCIAL</v>
          </cell>
          <cell r="D486">
            <v>0.5</v>
          </cell>
        </row>
        <row r="487">
          <cell r="A487" t="str">
            <v>FATURACRED SCD - PRUDENCIAL</v>
          </cell>
          <cell r="D487">
            <v>0.5</v>
          </cell>
        </row>
        <row r="488">
          <cell r="A488" t="str">
            <v>PEAK SEP - PRUDENCIAL</v>
          </cell>
          <cell r="D488">
            <v>0.5</v>
          </cell>
        </row>
        <row r="489">
          <cell r="A489" t="str">
            <v>DATANOMIK BRASIL IP - PRUDENCIAL</v>
          </cell>
          <cell r="D489">
            <v>0.5</v>
          </cell>
        </row>
        <row r="490">
          <cell r="A490" t="str">
            <v>UNICRED DTVM - PRUDENCIAL</v>
          </cell>
          <cell r="D490">
            <v>0.25</v>
          </cell>
        </row>
        <row r="491">
          <cell r="A491" t="str">
            <v>P R DO BRASIL IP - PRUDENCIAL</v>
          </cell>
          <cell r="D491">
            <v>0.5</v>
          </cell>
        </row>
        <row r="492">
          <cell r="A492" t="str">
            <v>GLOBAL SCM LTDA - PRUDENCIAL</v>
          </cell>
          <cell r="D492">
            <v>0.5</v>
          </cell>
        </row>
        <row r="493">
          <cell r="A493" t="str">
            <v>VBS SCD - PRUDENCIAL</v>
          </cell>
          <cell r="D493">
            <v>0.25</v>
          </cell>
        </row>
        <row r="494">
          <cell r="A494" t="str">
            <v>BELVO IP - PRUDENCIAL</v>
          </cell>
          <cell r="D494">
            <v>0.75</v>
          </cell>
        </row>
        <row r="495">
          <cell r="A495" t="str">
            <v>SOCRED S.A. SCM - PRUDENCIAL</v>
          </cell>
          <cell r="D495">
            <v>0.5</v>
          </cell>
        </row>
        <row r="496">
          <cell r="A496" t="str">
            <v>SQUID SCD - PRUDENCIAL</v>
          </cell>
          <cell r="D496">
            <v>0.5</v>
          </cell>
        </row>
        <row r="497">
          <cell r="A497" t="str">
            <v>MÉRITO DTVM - PRUDENCIAL</v>
          </cell>
          <cell r="D497">
            <v>0.5</v>
          </cell>
        </row>
        <row r="498">
          <cell r="A498" t="str">
            <v>GDC PART SERV FIDUC DTVM LTDA - PRUDENCIAL</v>
          </cell>
          <cell r="D498">
            <v>0.5</v>
          </cell>
        </row>
        <row r="499">
          <cell r="A499" t="str">
            <v>GLOBAL INV SERVICES DTVM - PRUDENCIAL</v>
          </cell>
          <cell r="D499">
            <v>0.5</v>
          </cell>
        </row>
        <row r="500">
          <cell r="A500" t="str">
            <v>IDEA MAKER IP - PRUDENCIAL</v>
          </cell>
          <cell r="D500">
            <v>0.25</v>
          </cell>
        </row>
        <row r="501">
          <cell r="A501" t="str">
            <v>ALL IN CRED SCD - PRUDENCIAL</v>
          </cell>
          <cell r="D501">
            <v>0.25</v>
          </cell>
        </row>
        <row r="502">
          <cell r="A502" t="str">
            <v>CREDPAR SCD - PRUDENCIAL</v>
          </cell>
          <cell r="D502">
            <v>0.5</v>
          </cell>
        </row>
        <row r="503">
          <cell r="A503" t="str">
            <v>BRCONDOS SCD - PRUDENCIAL</v>
          </cell>
          <cell r="D503">
            <v>0.5</v>
          </cell>
        </row>
        <row r="504">
          <cell r="A504" t="str">
            <v>BFC SCD - PRUDENCIAL</v>
          </cell>
          <cell r="D504">
            <v>0.5</v>
          </cell>
        </row>
        <row r="505">
          <cell r="A505" t="str">
            <v>SETHI SCD - PRUDENCIAL</v>
          </cell>
          <cell r="D505">
            <v>0.5</v>
          </cell>
        </row>
        <row r="506">
          <cell r="A506" t="str">
            <v>LIQUIDO IP - PRUDENCIAL</v>
          </cell>
          <cell r="D506">
            <v>0.25</v>
          </cell>
        </row>
        <row r="507">
          <cell r="A507" t="str">
            <v>MOMENTO DTVM LTDA. - PRUDENCIAL</v>
          </cell>
          <cell r="D507">
            <v>0.5</v>
          </cell>
        </row>
        <row r="508">
          <cell r="A508" t="str">
            <v>HBI SCD - PRUDENCIAL</v>
          </cell>
          <cell r="D508">
            <v>0.75</v>
          </cell>
        </row>
        <row r="509">
          <cell r="A509" t="str">
            <v>FRIDAY IP - PRUDENCIAL</v>
          </cell>
          <cell r="D509">
            <v>0.5</v>
          </cell>
        </row>
        <row r="510">
          <cell r="A510" t="str">
            <v>E.SIGA SCD - PRUDENCIAL</v>
          </cell>
          <cell r="D510">
            <v>0.5</v>
          </cell>
        </row>
        <row r="511">
          <cell r="A511" t="str">
            <v>CAMBIONET CC LTDA - PRUDENCIAL</v>
          </cell>
          <cell r="D511">
            <v>0.25</v>
          </cell>
        </row>
        <row r="512">
          <cell r="A512" t="str">
            <v>FREEX CC - PRUDENCIAL</v>
          </cell>
          <cell r="D512">
            <v>0.25</v>
          </cell>
        </row>
        <row r="513">
          <cell r="A513" t="str">
            <v>NAGRO SCD - PRUDENCIAL</v>
          </cell>
          <cell r="D513">
            <v>0.25</v>
          </cell>
        </row>
        <row r="514">
          <cell r="A514" t="str">
            <v>A55 SCD - PRUDENCIAL</v>
          </cell>
          <cell r="D514">
            <v>0.25</v>
          </cell>
        </row>
        <row r="515">
          <cell r="A515" t="str">
            <v>GOOD CC - PRUDENCIAL</v>
          </cell>
          <cell r="D515">
            <v>0.5</v>
          </cell>
        </row>
        <row r="516">
          <cell r="A516" t="str">
            <v>CASA CREDITO S.A. SCM - PRUDENCIAL</v>
          </cell>
          <cell r="D516">
            <v>0.25</v>
          </cell>
        </row>
        <row r="517">
          <cell r="A517" t="str">
            <v>CATÁLISE DTVM PRUDENCIAL</v>
          </cell>
          <cell r="D517">
            <v>0.5</v>
          </cell>
        </row>
        <row r="518">
          <cell r="A518" t="str">
            <v>EUROINVEST S/A CCTVM - PRUDENCIAL</v>
          </cell>
          <cell r="D518">
            <v>0.5</v>
          </cell>
        </row>
        <row r="519">
          <cell r="A519" t="str">
            <v>NEXOOS SEP - PRUDENCIAL</v>
          </cell>
          <cell r="D519">
            <v>0.25</v>
          </cell>
        </row>
        <row r="520">
          <cell r="A520" t="str">
            <v>NUMATUR CC LTDA - PRUDENCIAL</v>
          </cell>
          <cell r="D520">
            <v>0.5</v>
          </cell>
        </row>
        <row r="521">
          <cell r="A521" t="str">
            <v>CREDBRASIL - SCMEPP LTDA - PRUDENCIAL</v>
          </cell>
          <cell r="D521">
            <v>0.5</v>
          </cell>
        </row>
        <row r="522">
          <cell r="A522" t="str">
            <v>BRCARD SCD - PRUDENCIAL</v>
          </cell>
          <cell r="D522">
            <v>0.5</v>
          </cell>
        </row>
        <row r="523">
          <cell r="A523" t="str">
            <v>HR SCMEPP LTDA. - PRUDENCIAL</v>
          </cell>
          <cell r="D523">
            <v>0.5</v>
          </cell>
        </row>
        <row r="524">
          <cell r="A524" t="str">
            <v>FINLEV SCD PRUDENCIAL</v>
          </cell>
          <cell r="D524">
            <v>0.5</v>
          </cell>
        </row>
        <row r="525">
          <cell r="A525" t="str">
            <v>PACIFIC INVEST DTVM LTDA - PRUDENCIAL</v>
          </cell>
          <cell r="D525">
            <v>0.25</v>
          </cell>
        </row>
        <row r="526">
          <cell r="A526" t="str">
            <v>GIRO SCD - PRUDENCIAL</v>
          </cell>
          <cell r="D526">
            <v>0.5</v>
          </cell>
        </row>
        <row r="527">
          <cell r="A527" t="str">
            <v>AVS CORRETORA DE CÂMBIO LTDA - PRUDENCIAL</v>
          </cell>
          <cell r="D527">
            <v>0.5</v>
          </cell>
        </row>
        <row r="528">
          <cell r="A528" t="str">
            <v>BEZZ SCD - PRUDENCIAL</v>
          </cell>
          <cell r="D528">
            <v>0.25</v>
          </cell>
        </row>
        <row r="529">
          <cell r="A529" t="str">
            <v>FINANCRED SCMEPP LTDA. - PRUDENCIAL</v>
          </cell>
          <cell r="D529">
            <v>0.5</v>
          </cell>
        </row>
        <row r="530">
          <cell r="A530" t="str">
            <v>CUMBUCA IP - PRUDENCIAL</v>
          </cell>
          <cell r="D530">
            <v>0.5</v>
          </cell>
        </row>
        <row r="531">
          <cell r="A531" t="str">
            <v>TRANSFERO IP - PRUDENCIAL</v>
          </cell>
          <cell r="D531">
            <v>0.25</v>
          </cell>
        </row>
        <row r="532">
          <cell r="A532" t="str">
            <v>VNK SCMEPP - PRUDENCIAL</v>
          </cell>
          <cell r="D532">
            <v>0.5</v>
          </cell>
        </row>
        <row r="533">
          <cell r="A533" t="str">
            <v>MARMARIS CC - PRUDENCIAL</v>
          </cell>
          <cell r="D533">
            <v>0.25</v>
          </cell>
        </row>
        <row r="534">
          <cell r="A534" t="str">
            <v>FARMTECH SCD - PRUDENCIAL</v>
          </cell>
          <cell r="D534">
            <v>0.5</v>
          </cell>
        </row>
        <row r="535">
          <cell r="A535" t="str">
            <v>CORPORE SCD - PRUDENCIAL</v>
          </cell>
          <cell r="D535">
            <v>0.5</v>
          </cell>
        </row>
        <row r="536">
          <cell r="A536" t="str">
            <v>SADOC CC - PRUDENCIAL</v>
          </cell>
          <cell r="D536">
            <v>0.25</v>
          </cell>
        </row>
        <row r="537">
          <cell r="A537" t="str">
            <v>EMCASH SERVICOS FINANCEIROS SEP - PRUDENCIAL</v>
          </cell>
          <cell r="D537">
            <v>0.5</v>
          </cell>
        </row>
        <row r="538">
          <cell r="A538" t="str">
            <v>VIPS CC LTDA. - PRUDENCIAL</v>
          </cell>
          <cell r="D538">
            <v>0.5</v>
          </cell>
        </row>
        <row r="539">
          <cell r="A539" t="str">
            <v>QUEROCRED SCD - PRUDENCIAL</v>
          </cell>
          <cell r="D539">
            <v>0.5</v>
          </cell>
        </row>
        <row r="540">
          <cell r="A540" t="str">
            <v>ATLANTA SCM LTDA - PRUDENCIAL</v>
          </cell>
          <cell r="D540">
            <v>0.5</v>
          </cell>
        </row>
        <row r="541">
          <cell r="A541" t="str">
            <v>INSTITUIÇÃO DE PAGAMENTOS MAPS - PRUDENCIAL</v>
          </cell>
          <cell r="D541">
            <v>0.25</v>
          </cell>
        </row>
        <row r="542">
          <cell r="A542" t="str">
            <v>SINGRATUR CC LTDA. - PRUDENCIAL</v>
          </cell>
          <cell r="D542">
            <v>0.5</v>
          </cell>
        </row>
        <row r="543">
          <cell r="A543" t="str">
            <v>GREEN ALTERNATIVE INVESTMENTS DTVM - PRUDENCIAL</v>
          </cell>
          <cell r="D543">
            <v>0.5</v>
          </cell>
        </row>
        <row r="544">
          <cell r="A544" t="str">
            <v>EFEX IP - PRUDENCIAL</v>
          </cell>
          <cell r="D544">
            <v>0.5</v>
          </cell>
        </row>
        <row r="545">
          <cell r="A545" t="str">
            <v>BIZCAPITAL SCD - PRUDENCIAL</v>
          </cell>
          <cell r="D545">
            <v>0.5</v>
          </cell>
        </row>
        <row r="546">
          <cell r="A546" t="str">
            <v>LAMARA SCD - PRUDENCIAL</v>
          </cell>
          <cell r="D546">
            <v>0.5</v>
          </cell>
        </row>
        <row r="547">
          <cell r="A547" t="str">
            <v>FIDEM SCD - PRUDENCIAL</v>
          </cell>
          <cell r="D547">
            <v>0.25</v>
          </cell>
        </row>
        <row r="548">
          <cell r="A548" t="str">
            <v>PROVU SCD - PRUDENCIAL</v>
          </cell>
          <cell r="D548">
            <v>0.5</v>
          </cell>
        </row>
        <row r="549">
          <cell r="A549" t="str">
            <v>CREDILON SCM REG. LONDRINA LTD - PRUDENCIAL</v>
          </cell>
          <cell r="D549">
            <v>0.5</v>
          </cell>
        </row>
        <row r="550">
          <cell r="A550" t="str">
            <v>DEBONI DTVM LTDA - PRUDENCIAL</v>
          </cell>
          <cell r="D550">
            <v>0.25</v>
          </cell>
        </row>
        <row r="551">
          <cell r="A551" t="str">
            <v>EASY MONEY SCD - PRUDENCIAL</v>
          </cell>
          <cell r="D551">
            <v>0.5</v>
          </cell>
        </row>
        <row r="552">
          <cell r="A552" t="str">
            <v>OMIE IP - PRUDENCIAL</v>
          </cell>
          <cell r="D552">
            <v>0.5</v>
          </cell>
        </row>
        <row r="553">
          <cell r="A553" t="str">
            <v>LUMINA CC - PRUDENCIAL</v>
          </cell>
          <cell r="D553">
            <v>0.25</v>
          </cell>
        </row>
        <row r="554">
          <cell r="A554" t="str">
            <v>NIXFIN SCD - PRUDENCIAL</v>
          </cell>
          <cell r="D554">
            <v>0.5</v>
          </cell>
        </row>
        <row r="555">
          <cell r="A555" t="str">
            <v>LASTRO RDV DTVM LTDA - PRUDENCIAL</v>
          </cell>
          <cell r="D555">
            <v>0.5</v>
          </cell>
        </row>
        <row r="556">
          <cell r="A556" t="str">
            <v>FINAZO SCD - PRUDENCIAL</v>
          </cell>
          <cell r="D556">
            <v>0.5</v>
          </cell>
        </row>
        <row r="557">
          <cell r="A557" t="str">
            <v>OPPENS SEP - PRUDENCIAL</v>
          </cell>
          <cell r="D557">
            <v>0.5</v>
          </cell>
        </row>
        <row r="558">
          <cell r="A558" t="str">
            <v>FIDO SEP - PRUDENCIAL</v>
          </cell>
          <cell r="D558">
            <v>0.25</v>
          </cell>
        </row>
        <row r="559">
          <cell r="A559" t="str">
            <v>CORREPARTI CC LTDA - PRUDENCIAL</v>
          </cell>
          <cell r="D559">
            <v>0.5</v>
          </cell>
        </row>
        <row r="560">
          <cell r="A560" t="str">
            <v>ÓPERA SCD - PRUDENCIAL</v>
          </cell>
          <cell r="D560">
            <v>0.5</v>
          </cell>
        </row>
        <row r="561">
          <cell r="A561" t="str">
            <v>KIKAI SCD PRUDENCIAL</v>
          </cell>
          <cell r="D561">
            <v>0.5</v>
          </cell>
        </row>
        <row r="562">
          <cell r="A562" t="str">
            <v>FATORI SCMEPP - PRUDENCIAL</v>
          </cell>
          <cell r="D562">
            <v>0.5</v>
          </cell>
        </row>
        <row r="563">
          <cell r="A563" t="str">
            <v>DELEND IP - PRUDENCIAL</v>
          </cell>
          <cell r="D563">
            <v>0.5</v>
          </cell>
        </row>
        <row r="564">
          <cell r="A564" t="str">
            <v>PRONANCE SCC - PRUDENCIAL</v>
          </cell>
          <cell r="D564">
            <v>0.5</v>
          </cell>
        </row>
        <row r="565">
          <cell r="A565" t="str">
            <v>KLAVI IP - PRUDENCIAL</v>
          </cell>
          <cell r="D565">
            <v>0.5</v>
          </cell>
        </row>
        <row r="566">
          <cell r="A566" t="str">
            <v>CF GROUP SEP - PRUDENCIAL</v>
          </cell>
          <cell r="D566">
            <v>0.5</v>
          </cell>
        </row>
        <row r="567">
          <cell r="A567" t="str">
            <v>ONNIX CC LTDA. - PRUDENCIAL</v>
          </cell>
          <cell r="D567">
            <v>0.5</v>
          </cell>
        </row>
        <row r="568">
          <cell r="A568" t="str">
            <v>NGO ASSOCIADOS CC LTDA. - PRUDENCIAL</v>
          </cell>
          <cell r="D568">
            <v>0.5</v>
          </cell>
        </row>
        <row r="569">
          <cell r="A569" t="str">
            <v>CONSEGTUR CC - PRUDENCIAL</v>
          </cell>
          <cell r="D569">
            <v>0.5</v>
          </cell>
        </row>
        <row r="570">
          <cell r="A570" t="str">
            <v>CRYSTAL BMC IP - PRUDENCIAL</v>
          </cell>
          <cell r="D570">
            <v>0.25</v>
          </cell>
        </row>
        <row r="571">
          <cell r="A571" t="str">
            <v>FIDUCIAL DTVM LTDA - PRUDENCIAL</v>
          </cell>
          <cell r="D571">
            <v>0.5</v>
          </cell>
        </row>
        <row r="572">
          <cell r="A572" t="str">
            <v>QORE DTVM LTDA - PRUDENCIAL</v>
          </cell>
          <cell r="D572">
            <v>0.25</v>
          </cell>
        </row>
        <row r="573">
          <cell r="A573" t="str">
            <v>ATUAL CC - PRUDENCIAL</v>
          </cell>
          <cell r="D573">
            <v>0.5</v>
          </cell>
        </row>
        <row r="574">
          <cell r="A574" t="str">
            <v>EBADIVAL - E BAGGIO DTVM LTDA - PRUDENCIAL</v>
          </cell>
          <cell r="D574">
            <v>0.5</v>
          </cell>
        </row>
        <row r="575">
          <cell r="A575" t="str">
            <v>AVIPAM CC LTDA. - PRUDENCIAL</v>
          </cell>
          <cell r="D575">
            <v>0.5</v>
          </cell>
        </row>
        <row r="576">
          <cell r="A576" t="str">
            <v>ICARO CC LTDA - PRUDENCIAL</v>
          </cell>
          <cell r="D576">
            <v>0.5</v>
          </cell>
        </row>
        <row r="577">
          <cell r="A577" t="str">
            <v>SOL CC - PRUDENCIAL</v>
          </cell>
          <cell r="D577">
            <v>0.5</v>
          </cell>
        </row>
      </sheetData>
      <sheetData sheetId="5">
        <row r="2">
          <cell r="A2" t="str">
            <v>ITAU - PRUDENCIAL</v>
          </cell>
          <cell r="D2">
            <v>1</v>
          </cell>
        </row>
        <row r="3">
          <cell r="A3" t="str">
            <v>BB - PRUDENCIAL</v>
          </cell>
          <cell r="D3">
            <v>1</v>
          </cell>
        </row>
        <row r="4">
          <cell r="A4" t="str">
            <v>CAIXA ECONÔMICA FEDERAL - PRUDENCIAL</v>
          </cell>
          <cell r="D4">
            <v>1</v>
          </cell>
        </row>
        <row r="5">
          <cell r="A5" t="str">
            <v>BRADESCO - PRUDENCIAL</v>
          </cell>
          <cell r="D5">
            <v>1</v>
          </cell>
        </row>
        <row r="6">
          <cell r="A6" t="str">
            <v>SANTANDER - PRUDENCIAL</v>
          </cell>
          <cell r="D6">
            <v>1</v>
          </cell>
        </row>
        <row r="7">
          <cell r="A7" t="str">
            <v>BNDES - PRUDENCIAL</v>
          </cell>
          <cell r="D7">
            <v>1</v>
          </cell>
        </row>
        <row r="8">
          <cell r="A8" t="str">
            <v>BTG PACTUAL - PRUDENCIAL</v>
          </cell>
          <cell r="D8">
            <v>1</v>
          </cell>
        </row>
        <row r="9">
          <cell r="A9" t="str">
            <v>XP - PRUDENCIAL</v>
          </cell>
          <cell r="D9">
            <v>1</v>
          </cell>
        </row>
        <row r="10">
          <cell r="A10" t="str">
            <v>NU PAGAMENTOS - PRUDENCIAL</v>
          </cell>
          <cell r="D10">
            <v>1</v>
          </cell>
        </row>
        <row r="11">
          <cell r="A11" t="str">
            <v>SAFRA - PRUDENCIAL</v>
          </cell>
          <cell r="D11">
            <v>1</v>
          </cell>
        </row>
        <row r="12">
          <cell r="A12" t="str">
            <v>BCO COOPERATIVO SICREDI - PRUDENCIAL</v>
          </cell>
          <cell r="D12">
            <v>0.25</v>
          </cell>
        </row>
        <row r="13">
          <cell r="A13" t="str">
            <v>BANCO SICOOB - PRUDENCIAL</v>
          </cell>
          <cell r="D13">
            <v>0.25</v>
          </cell>
        </row>
        <row r="14">
          <cell r="A14" t="str">
            <v>CITIBANK - PRUDENCIAL</v>
          </cell>
          <cell r="D14">
            <v>1</v>
          </cell>
        </row>
        <row r="15">
          <cell r="A15" t="str">
            <v>BANRISUL - PRUDENCIAL</v>
          </cell>
          <cell r="D15">
            <v>1</v>
          </cell>
        </row>
        <row r="16">
          <cell r="A16" t="str">
            <v>VOTORANTIM - PRUDENCIAL</v>
          </cell>
          <cell r="D16">
            <v>1</v>
          </cell>
        </row>
        <row r="17">
          <cell r="A17" t="str">
            <v>BANCO C6 - PRUDENCIAL</v>
          </cell>
          <cell r="D17">
            <v>1</v>
          </cell>
        </row>
        <row r="18">
          <cell r="A18" t="str">
            <v>CIELO IP - PRUDENCIAL</v>
          </cell>
          <cell r="D18">
            <v>1</v>
          </cell>
        </row>
        <row r="19">
          <cell r="A19" t="str">
            <v>BCO DAYCOVAL S.A - PRUDENCIAL</v>
          </cell>
          <cell r="D19">
            <v>1</v>
          </cell>
        </row>
        <row r="20">
          <cell r="A20" t="str">
            <v>MERCADO PAGO IP - PRUDENCIAL</v>
          </cell>
          <cell r="D20">
            <v>1</v>
          </cell>
        </row>
        <row r="21">
          <cell r="A21" t="str">
            <v>JP MORGAN CHASE - PRUDENCIAL</v>
          </cell>
          <cell r="D21">
            <v>0.25</v>
          </cell>
        </row>
        <row r="22">
          <cell r="A22" t="str">
            <v>INTER - PRUDENCIAL</v>
          </cell>
          <cell r="D22">
            <v>1</v>
          </cell>
        </row>
        <row r="23">
          <cell r="A23" t="str">
            <v>BRB - PRUDENCIAL</v>
          </cell>
          <cell r="D23">
            <v>1</v>
          </cell>
        </row>
        <row r="24">
          <cell r="A24" t="str">
            <v>BCO DO NORDESTE DO BRASIL S.A. - PRUDENCIAL</v>
          </cell>
          <cell r="D24">
            <v>1</v>
          </cell>
        </row>
        <row r="25">
          <cell r="A25" t="str">
            <v>PAGSEGURO - PRUDENCIAL</v>
          </cell>
          <cell r="D25">
            <v>0.25</v>
          </cell>
        </row>
        <row r="26">
          <cell r="A26" t="str">
            <v>ABC-BRASIL - PRUDENCIAL</v>
          </cell>
          <cell r="D26">
            <v>0.25</v>
          </cell>
        </row>
        <row r="27">
          <cell r="A27" t="str">
            <v>BCO DA AMAZONIA S.A. - PRUDENCIAL</v>
          </cell>
          <cell r="D27">
            <v>1</v>
          </cell>
        </row>
        <row r="28">
          <cell r="A28" t="str">
            <v>VOLKSWAGEN - PRUDENCIAL</v>
          </cell>
          <cell r="D28">
            <v>1</v>
          </cell>
        </row>
        <row r="29">
          <cell r="A29" t="str">
            <v>BCO RABOBANK INTL BRASIL S.A. - PRUDENCIAL</v>
          </cell>
          <cell r="D29">
            <v>1</v>
          </cell>
        </row>
        <row r="30">
          <cell r="A30" t="str">
            <v>STONE IP - PRUDENCIAL</v>
          </cell>
          <cell r="D30">
            <v>0.25</v>
          </cell>
        </row>
        <row r="31">
          <cell r="A31" t="str">
            <v>BMG - PRUDENCIAL</v>
          </cell>
          <cell r="D31">
            <v>1</v>
          </cell>
        </row>
        <row r="32">
          <cell r="A32" t="str">
            <v>BNP PARIBAS - PRUDENCIAL</v>
          </cell>
          <cell r="D32">
            <v>1</v>
          </cell>
        </row>
        <row r="33">
          <cell r="A33" t="str">
            <v>BOFA MERRILL LYNCH - PRUDENCIAL</v>
          </cell>
          <cell r="D33">
            <v>1</v>
          </cell>
        </row>
        <row r="34">
          <cell r="A34" t="str">
            <v>AGIBANK - PRUDENCIAL</v>
          </cell>
          <cell r="D34">
            <v>1</v>
          </cell>
        </row>
        <row r="35">
          <cell r="A35" t="str">
            <v>BANESTES - PRUDENCIAL</v>
          </cell>
          <cell r="D35">
            <v>1</v>
          </cell>
        </row>
        <row r="36">
          <cell r="A36" t="str">
            <v>PICPAY - PRUDENCIAL</v>
          </cell>
          <cell r="D36">
            <v>1</v>
          </cell>
        </row>
        <row r="37">
          <cell r="A37" t="str">
            <v>ORIGINAL - PRUDENCIAL</v>
          </cell>
          <cell r="D37">
            <v>1</v>
          </cell>
        </row>
        <row r="38">
          <cell r="A38" t="str">
            <v>GOLDMAN SACHS - PRUDENCIAL</v>
          </cell>
          <cell r="D38">
            <v>1</v>
          </cell>
        </row>
        <row r="39">
          <cell r="A39" t="str">
            <v>MERCANTIL DO BRASIL - PRUDENCIAL</v>
          </cell>
          <cell r="D39">
            <v>1</v>
          </cell>
        </row>
        <row r="40">
          <cell r="A40" t="str">
            <v>BOCOM - PRUDENCIAL</v>
          </cell>
          <cell r="D40">
            <v>1</v>
          </cell>
        </row>
        <row r="41">
          <cell r="A41" t="str">
            <v>BCO CLASSICO S.A. - PRUDENCIAL</v>
          </cell>
          <cell r="D41">
            <v>0.5</v>
          </cell>
        </row>
        <row r="42">
          <cell r="A42" t="str">
            <v>BD REGIONAL DO EXTREMO SUL - PRUDENCIAL</v>
          </cell>
          <cell r="D42">
            <v>1</v>
          </cell>
        </row>
        <row r="43">
          <cell r="A43" t="str">
            <v>BANCO CNH INDUSTRIAL CAPITAL S.A - PRUDENCIAL</v>
          </cell>
          <cell r="D43">
            <v>1</v>
          </cell>
        </row>
        <row r="44">
          <cell r="A44" t="str">
            <v>MORGAN STANLEY - PRUDENCIAL</v>
          </cell>
          <cell r="D44">
            <v>1</v>
          </cell>
        </row>
        <row r="45">
          <cell r="A45" t="str">
            <v>TERRA INVESTIMENTOS DTVM - PRUDENCIAL</v>
          </cell>
          <cell r="D45">
            <v>0.75</v>
          </cell>
        </row>
        <row r="46">
          <cell r="A46" t="str">
            <v>BANK OF CHINA (BRASIL) - PRUDENCIAL</v>
          </cell>
          <cell r="D46">
            <v>0.25</v>
          </cell>
        </row>
        <row r="47">
          <cell r="A47" t="str">
            <v>PORTO SEGURO - PRUDENCIAL</v>
          </cell>
          <cell r="D47">
            <v>1</v>
          </cell>
        </row>
        <row r="48">
          <cell r="A48" t="str">
            <v>BCO FIBRA S.A. - PRUDENCIAL</v>
          </cell>
          <cell r="D48">
            <v>0.25</v>
          </cell>
        </row>
        <row r="49">
          <cell r="A49" t="str">
            <v>BCO CSF S.A. - PRUDENCIAL</v>
          </cell>
          <cell r="D49">
            <v>1</v>
          </cell>
        </row>
        <row r="50">
          <cell r="A50" t="str">
            <v>STELLANTIS - PRUDENCIAL</v>
          </cell>
          <cell r="D50">
            <v>1</v>
          </cell>
        </row>
        <row r="51">
          <cell r="A51" t="str">
            <v>UBS (BRASIL) - PRUDENCIAL</v>
          </cell>
          <cell r="D51">
            <v>1</v>
          </cell>
        </row>
        <row r="52">
          <cell r="A52" t="str">
            <v>CREDIT AGRICOLE - PRUDENCIAL</v>
          </cell>
          <cell r="D52">
            <v>1</v>
          </cell>
        </row>
        <row r="53">
          <cell r="A53" t="str">
            <v>CLOUDWALK IP - PRUDENCIAL</v>
          </cell>
          <cell r="D53">
            <v>1</v>
          </cell>
        </row>
        <row r="54">
          <cell r="A54" t="str">
            <v>BCO DO EST. DO PA S.A. - PRUDENCIAL</v>
          </cell>
          <cell r="D54">
            <v>1</v>
          </cell>
        </row>
        <row r="55">
          <cell r="A55" t="str">
            <v>MERCEDES-BENZ - PRUDENCIAL</v>
          </cell>
          <cell r="D55">
            <v>1</v>
          </cell>
        </row>
        <row r="56">
          <cell r="A56" t="str">
            <v>SCOTIABANK BRASIL - PRUDENCIAL</v>
          </cell>
          <cell r="D56">
            <v>1</v>
          </cell>
        </row>
        <row r="57">
          <cell r="A57" t="str">
            <v>VOLVO - PRUDENCIAL</v>
          </cell>
          <cell r="D57">
            <v>1</v>
          </cell>
        </row>
        <row r="58">
          <cell r="A58" t="str">
            <v>SCANIA - PRUDENCIAL</v>
          </cell>
          <cell r="D58">
            <v>1</v>
          </cell>
        </row>
        <row r="59">
          <cell r="A59" t="str">
            <v>HONDA - PRUDENCIAL</v>
          </cell>
          <cell r="D59">
            <v>0.25</v>
          </cell>
        </row>
        <row r="60">
          <cell r="A60" t="str">
            <v>GM - PRUDENCIAL</v>
          </cell>
          <cell r="D60">
            <v>1</v>
          </cell>
        </row>
        <row r="61">
          <cell r="A61" t="str">
            <v>BR PARTNERS - PRUDENCIAL</v>
          </cell>
          <cell r="D61">
            <v>1</v>
          </cell>
        </row>
        <row r="62">
          <cell r="A62" t="str">
            <v>DEUTSCHE - PRUDENCIAL</v>
          </cell>
          <cell r="D62">
            <v>1</v>
          </cell>
        </row>
        <row r="63">
          <cell r="A63" t="str">
            <v>MIZUHO - PRUDENCIAL</v>
          </cell>
          <cell r="D63">
            <v>0.25</v>
          </cell>
        </row>
        <row r="64">
          <cell r="A64" t="str">
            <v>BCO DO EST. DE SE S.A. - PRUDENCIAL</v>
          </cell>
          <cell r="D64">
            <v>1</v>
          </cell>
        </row>
        <row r="65">
          <cell r="A65" t="str">
            <v>BCO DE LAGE LANDEN BRASIL S.A. - PRUDENCIAL</v>
          </cell>
          <cell r="D65">
            <v>0.25</v>
          </cell>
        </row>
        <row r="66">
          <cell r="A66" t="str">
            <v>BANCO HSBC - PRUDENCIAL</v>
          </cell>
          <cell r="D66">
            <v>1</v>
          </cell>
        </row>
        <row r="67">
          <cell r="A67" t="str">
            <v>BCO DES. DE MG S.A. - PRUDENCIAL</v>
          </cell>
          <cell r="D67">
            <v>1</v>
          </cell>
        </row>
        <row r="68">
          <cell r="A68" t="str">
            <v>BCO MUFG BRASIL S.A. - PRUDENCIAL</v>
          </cell>
          <cell r="D68">
            <v>1</v>
          </cell>
        </row>
        <row r="69">
          <cell r="A69" t="str">
            <v>BCO TOYOTA DO BRASIL S.A. - PRUDENCIAL</v>
          </cell>
          <cell r="D69">
            <v>1</v>
          </cell>
        </row>
        <row r="70">
          <cell r="A70" t="str">
            <v>PARANÁ BANCO - PRUDENCIAL</v>
          </cell>
          <cell r="D70">
            <v>1</v>
          </cell>
        </row>
        <row r="71">
          <cell r="A71" t="str">
            <v>BCO INBURSA S.A. - PRUDENCIAL</v>
          </cell>
          <cell r="D71">
            <v>1</v>
          </cell>
        </row>
        <row r="72">
          <cell r="A72" t="str">
            <v>APE POUPEX - PRUDENCIAL</v>
          </cell>
          <cell r="D72">
            <v>1</v>
          </cell>
        </row>
        <row r="73">
          <cell r="A73" t="str">
            <v>NEON PAGAMENTOS IP - PRUDENCIAL</v>
          </cell>
          <cell r="D73">
            <v>1</v>
          </cell>
        </row>
        <row r="74">
          <cell r="A74" t="str">
            <v>BCO SUMITOMO MITSUI BRASIL S.A. - PRUDENCIAL</v>
          </cell>
          <cell r="D74">
            <v>0.25</v>
          </cell>
        </row>
        <row r="75">
          <cell r="A75" t="str">
            <v>BANCO DIGIMAIS - PRUDENCIAL</v>
          </cell>
          <cell r="D75">
            <v>1</v>
          </cell>
        </row>
        <row r="76">
          <cell r="A76" t="str">
            <v>CREFISA S.A. CFI - PRUDENCIAL</v>
          </cell>
          <cell r="D76">
            <v>1</v>
          </cell>
        </row>
        <row r="77">
          <cell r="A77" t="str">
            <v>FACTA S.A. CFI - PRUDENCIAL</v>
          </cell>
          <cell r="D77">
            <v>1</v>
          </cell>
        </row>
        <row r="78">
          <cell r="A78" t="str">
            <v>SOCIETE GENERALE - PRUDENCIAL</v>
          </cell>
          <cell r="D78">
            <v>0.75</v>
          </cell>
        </row>
        <row r="79">
          <cell r="A79" t="str">
            <v>HAITONG - PRUDENCIAL</v>
          </cell>
          <cell r="D79">
            <v>0.75</v>
          </cell>
        </row>
        <row r="80">
          <cell r="A80" t="str">
            <v>SEM PARAR IP - PRUDENCIAL</v>
          </cell>
          <cell r="D80">
            <v>0.25</v>
          </cell>
        </row>
        <row r="81">
          <cell r="A81" t="str">
            <v>BANCO PACCAR - PRUDENCIAL</v>
          </cell>
          <cell r="D81">
            <v>1</v>
          </cell>
        </row>
        <row r="82">
          <cell r="A82" t="str">
            <v>BS2 - PRUDENCIAL</v>
          </cell>
          <cell r="D82">
            <v>1</v>
          </cell>
        </row>
        <row r="83">
          <cell r="A83" t="str">
            <v>ALELO IP - PRUDENCIAL</v>
          </cell>
          <cell r="D83">
            <v>1</v>
          </cell>
        </row>
        <row r="84">
          <cell r="A84" t="str">
            <v>INDUSTRIAL DO BRASIL - PRUDENCIAL</v>
          </cell>
          <cell r="D84">
            <v>1</v>
          </cell>
        </row>
        <row r="85">
          <cell r="A85" t="str">
            <v>OMNI - PRUDENCIAL</v>
          </cell>
          <cell r="D85">
            <v>1</v>
          </cell>
        </row>
        <row r="86">
          <cell r="A86" t="str">
            <v>REALIZE CFI - PRUDENCIAL</v>
          </cell>
          <cell r="D86">
            <v>1</v>
          </cell>
        </row>
        <row r="87">
          <cell r="A87" t="str">
            <v>MIDWAY S.A. - SCFI - PRUDENCIAL</v>
          </cell>
          <cell r="D87">
            <v>1</v>
          </cell>
        </row>
        <row r="88">
          <cell r="A88" t="str">
            <v>BCO CATERPILLAR S.A. - PRUDENCIAL</v>
          </cell>
          <cell r="D88">
            <v>1</v>
          </cell>
        </row>
        <row r="89">
          <cell r="A89" t="str">
            <v>RODOBENS - PRUDENCIAL</v>
          </cell>
          <cell r="D89">
            <v>1</v>
          </cell>
        </row>
        <row r="90">
          <cell r="A90" t="str">
            <v>FISERV DO BRASIL IP - PRUDENCIAL</v>
          </cell>
          <cell r="D90">
            <v>0.25</v>
          </cell>
        </row>
        <row r="91">
          <cell r="A91" t="str">
            <v>PEFISA S.A. - PRUDENCIAL</v>
          </cell>
          <cell r="D91">
            <v>0.25</v>
          </cell>
        </row>
        <row r="92">
          <cell r="A92" t="str">
            <v>NOVO BCO CONTINENTAL S.A. - BM - PRUDENCIAL</v>
          </cell>
          <cell r="D92">
            <v>1</v>
          </cell>
        </row>
        <row r="93">
          <cell r="A93" t="str">
            <v>RENDIMENTO - PRUDENCIAL</v>
          </cell>
          <cell r="D93">
            <v>1</v>
          </cell>
        </row>
        <row r="94">
          <cell r="A94" t="str">
            <v>DM FINANCEIRA CFI - PRUDENCIAL</v>
          </cell>
          <cell r="D94">
            <v>0.25</v>
          </cell>
        </row>
        <row r="95">
          <cell r="A95" t="str">
            <v>YAMAHA MOTOR - PRUDENCIAL</v>
          </cell>
          <cell r="D95">
            <v>0.5</v>
          </cell>
        </row>
        <row r="96">
          <cell r="A96" t="str">
            <v>AF DESENVOLVE SP S.A. - PRUDENCIAL</v>
          </cell>
          <cell r="D96">
            <v>1</v>
          </cell>
        </row>
        <row r="97">
          <cell r="A97" t="str">
            <v>BCO TRIANGULO S.A. - PRUDENCIAL</v>
          </cell>
          <cell r="D97">
            <v>1</v>
          </cell>
        </row>
        <row r="98">
          <cell r="A98" t="str">
            <v>INTESA SANPAOLO BRASIL S.A. - PRUDENCIAL</v>
          </cell>
          <cell r="D98">
            <v>1</v>
          </cell>
        </row>
        <row r="99">
          <cell r="A99" t="str">
            <v>GENIAL - PRUDENCIAL</v>
          </cell>
          <cell r="D99">
            <v>1</v>
          </cell>
        </row>
        <row r="100">
          <cell r="A100" t="str">
            <v>BCO LUSO BRASILEIRO S.A. - PRUDENCIAL</v>
          </cell>
          <cell r="D100">
            <v>1</v>
          </cell>
        </row>
        <row r="101">
          <cell r="A101" t="str">
            <v>AF PARANÁ - PRUDENCIAL</v>
          </cell>
          <cell r="D101">
            <v>1</v>
          </cell>
        </row>
        <row r="102">
          <cell r="A102" t="str">
            <v>BMW - PRUDENCIAL</v>
          </cell>
          <cell r="D102">
            <v>1</v>
          </cell>
        </row>
        <row r="103">
          <cell r="A103" t="str">
            <v>QI SCD - PRUDENCIAL</v>
          </cell>
          <cell r="D103">
            <v>1</v>
          </cell>
        </row>
        <row r="104">
          <cell r="A104" t="str">
            <v>SHPP BRASIL IP - PRUDENCIAL</v>
          </cell>
          <cell r="D104">
            <v>1</v>
          </cell>
        </row>
        <row r="105">
          <cell r="A105" t="str">
            <v>BADESUL DESENVOLVIMENTO AF/RS - PRUDENCIAL</v>
          </cell>
          <cell r="D105">
            <v>1</v>
          </cell>
        </row>
        <row r="106">
          <cell r="A106" t="str">
            <v>WARREN CCVM LTDA - PRUDENCIAL</v>
          </cell>
          <cell r="D106">
            <v>1</v>
          </cell>
        </row>
        <row r="107">
          <cell r="A107" t="str">
            <v>BCO CARGILL S.A. - PRUDENCIAL</v>
          </cell>
          <cell r="D107">
            <v>1</v>
          </cell>
        </row>
        <row r="108">
          <cell r="A108" t="str">
            <v>CREDSYSTEM IP - PRUDENCIAL</v>
          </cell>
          <cell r="D108">
            <v>0.75</v>
          </cell>
        </row>
        <row r="109">
          <cell r="A109" t="str">
            <v>BMP SCMEPP LTDA - PRUDENCIAL</v>
          </cell>
          <cell r="D109">
            <v>1</v>
          </cell>
        </row>
        <row r="110">
          <cell r="A110" t="str">
            <v>RANDON - PRUDENCIAL</v>
          </cell>
          <cell r="D110">
            <v>0.75</v>
          </cell>
        </row>
        <row r="111">
          <cell r="A111" t="str">
            <v>BCO KDB BRASIL S.A. - PRUDENCIAL</v>
          </cell>
          <cell r="D111">
            <v>1</v>
          </cell>
        </row>
        <row r="112">
          <cell r="A112" t="str">
            <v>ANDBANK - PRUDENCIAL</v>
          </cell>
          <cell r="D112">
            <v>1</v>
          </cell>
        </row>
        <row r="113">
          <cell r="A113" t="str">
            <v>BCO ABN AMRO CLEARING - PRUDENCIAL</v>
          </cell>
          <cell r="D113">
            <v>0.75</v>
          </cell>
        </row>
        <row r="114">
          <cell r="A114" t="str">
            <v>MAGALUPAY IP - PRUDENCIAL</v>
          </cell>
          <cell r="D114">
            <v>0.75</v>
          </cell>
        </row>
        <row r="115">
          <cell r="A115" t="str">
            <v>ADYEN DO BRASIL IP - PRUDENCIAL</v>
          </cell>
          <cell r="D115">
            <v>0.25</v>
          </cell>
        </row>
        <row r="116">
          <cell r="A116" t="str">
            <v>PAYPAL DO BRASIL IP - PRUDENCIAL</v>
          </cell>
          <cell r="D116">
            <v>0.75</v>
          </cell>
        </row>
        <row r="117">
          <cell r="A117" t="str">
            <v>99PAY IP - PRUDENCIAL</v>
          </cell>
          <cell r="D117">
            <v>1</v>
          </cell>
        </row>
        <row r="118">
          <cell r="A118" t="str">
            <v>AFINZ IP - PRUDENCIAL</v>
          </cell>
          <cell r="D118">
            <v>0.75</v>
          </cell>
        </row>
        <row r="119">
          <cell r="A119" t="str">
            <v>S3 CACEIS BRASIL DTVM - PRUDENCIAL</v>
          </cell>
          <cell r="D119">
            <v>1</v>
          </cell>
        </row>
        <row r="120">
          <cell r="A120" t="str">
            <v>OURIBANK - PRUDENCIAL</v>
          </cell>
          <cell r="D120">
            <v>1</v>
          </cell>
        </row>
        <row r="121">
          <cell r="A121" t="str">
            <v>CORA SCFI - PRUDENCIAL</v>
          </cell>
          <cell r="D121">
            <v>1</v>
          </cell>
        </row>
        <row r="122">
          <cell r="A122" t="str">
            <v>ZOOP TECNOLOGIA IP - PRUDENCIAL</v>
          </cell>
          <cell r="D122">
            <v>0.5</v>
          </cell>
        </row>
        <row r="123">
          <cell r="A123" t="str">
            <v>BBC S.A. - PRUDENCIAL</v>
          </cell>
          <cell r="D123">
            <v>1</v>
          </cell>
        </row>
        <row r="124">
          <cell r="A124" t="str">
            <v>SUMUP IP - PRUDENCIAL</v>
          </cell>
          <cell r="D124">
            <v>0.25</v>
          </cell>
        </row>
        <row r="125">
          <cell r="A125" t="str">
            <v>BANCO TOPÁZIO S.A. - PRUDENCIAL</v>
          </cell>
          <cell r="D125">
            <v>1</v>
          </cell>
        </row>
        <row r="126">
          <cell r="A126" t="str">
            <v>BANCO IBM S.A. - PRUDENCIAL</v>
          </cell>
          <cell r="D126">
            <v>1</v>
          </cell>
        </row>
        <row r="127">
          <cell r="A127" t="str">
            <v>EDENRED SOLUCOES E IP AHA - PRUDENCIAL</v>
          </cell>
          <cell r="D127">
            <v>0.75</v>
          </cell>
        </row>
        <row r="128">
          <cell r="A128" t="str">
            <v>BCO GUANABARA S.A. - PRUDENCIAL</v>
          </cell>
          <cell r="D128">
            <v>1</v>
          </cell>
        </row>
        <row r="129">
          <cell r="A129" t="str">
            <v>ASAAS GESTAO FINANCEIRA IP - PRUDENCIAL</v>
          </cell>
          <cell r="D129">
            <v>1</v>
          </cell>
        </row>
        <row r="130">
          <cell r="A130" t="str">
            <v>DOCK IP - PRUDENCIAL</v>
          </cell>
          <cell r="D130">
            <v>1</v>
          </cell>
        </row>
        <row r="131">
          <cell r="A131" t="str">
            <v>BCO DES. DO ES S.A. - PRUDENCIAL</v>
          </cell>
          <cell r="D131">
            <v>1</v>
          </cell>
        </row>
        <row r="132">
          <cell r="A132" t="str">
            <v>BANCO BARI DE INVESTIMENTO E FINANCI. - PRUDENCIAL</v>
          </cell>
          <cell r="D132">
            <v>1</v>
          </cell>
        </row>
        <row r="133">
          <cell r="A133" t="str">
            <v>BANCO RIBEIRÃO PRETO - PRUDENCIAL</v>
          </cell>
          <cell r="D133">
            <v>1</v>
          </cell>
        </row>
        <row r="134">
          <cell r="A134" t="str">
            <v>FLASH TECNOLOGIA IP - PRUDENCIAL</v>
          </cell>
          <cell r="D134">
            <v>1</v>
          </cell>
        </row>
        <row r="135">
          <cell r="A135" t="str">
            <v>CAIXA GERAL - PRUDENCIAL</v>
          </cell>
          <cell r="D135">
            <v>0.75</v>
          </cell>
        </row>
        <row r="136">
          <cell r="A136" t="str">
            <v>RECARGAPAY IP - PRUDENCIAL</v>
          </cell>
          <cell r="D136">
            <v>1</v>
          </cell>
        </row>
        <row r="137">
          <cell r="A137" t="str">
            <v>LEASEPLAN AM S.A. - PRUDENCIAL</v>
          </cell>
          <cell r="D137">
            <v>0.25</v>
          </cell>
        </row>
        <row r="138">
          <cell r="A138" t="str">
            <v>HP FINANCIAL SERVICES AM S.A - PRUDENCIAL</v>
          </cell>
          <cell r="D138">
            <v>1</v>
          </cell>
        </row>
        <row r="139">
          <cell r="A139" t="str">
            <v>QISTA S.A. CFI - PRUDENCIAL</v>
          </cell>
          <cell r="D139">
            <v>1</v>
          </cell>
        </row>
        <row r="140">
          <cell r="A140" t="str">
            <v>AF DO ESTADO DE SC S.A. - PRUDENCIAL</v>
          </cell>
          <cell r="D140">
            <v>1</v>
          </cell>
        </row>
        <row r="141">
          <cell r="A141" t="str">
            <v>BANCO PAULISTA - PRUDENCIAL</v>
          </cell>
          <cell r="D141">
            <v>1</v>
          </cell>
        </row>
        <row r="142">
          <cell r="A142" t="str">
            <v>VORTX DTVM - PRUDENCIAL</v>
          </cell>
          <cell r="D142">
            <v>0.75</v>
          </cell>
        </row>
        <row r="143">
          <cell r="A143" t="str">
            <v>BNY MELLON - PRUDENCIAL</v>
          </cell>
          <cell r="D143">
            <v>1</v>
          </cell>
        </row>
        <row r="144">
          <cell r="A144" t="str">
            <v>ENTREPAY IP - PRUDENCIAL</v>
          </cell>
          <cell r="D144">
            <v>0.75</v>
          </cell>
        </row>
        <row r="145">
          <cell r="A145" t="str">
            <v>STRIPE BRASIL IP PRUDENCIAL</v>
          </cell>
          <cell r="D145">
            <v>0.25</v>
          </cell>
        </row>
        <row r="146">
          <cell r="A146" t="str">
            <v>CELCOIN IP - PRUDENCIAL</v>
          </cell>
          <cell r="D146">
            <v>0.75</v>
          </cell>
        </row>
        <row r="147">
          <cell r="A147" t="str">
            <v>IUGU IP - PRUDENCIAL</v>
          </cell>
          <cell r="D147">
            <v>0.75</v>
          </cell>
        </row>
        <row r="148">
          <cell r="A148" t="str">
            <v>STATE STREET BRASIL - PRUDENCIAL</v>
          </cell>
          <cell r="D148">
            <v>1</v>
          </cell>
        </row>
        <row r="149">
          <cell r="A149" t="str">
            <v>SWAP IP - PRUDENCIAL</v>
          </cell>
          <cell r="D149">
            <v>1</v>
          </cell>
        </row>
        <row r="150">
          <cell r="A150" t="str">
            <v>BCO KEB DO BRASIL SA - PRUDENCIAL</v>
          </cell>
          <cell r="D150">
            <v>0.75</v>
          </cell>
        </row>
        <row r="151">
          <cell r="A151" t="str">
            <v>EBANX IP - PRUDENCIAL</v>
          </cell>
          <cell r="D151">
            <v>1</v>
          </cell>
        </row>
        <row r="152">
          <cell r="A152" t="str">
            <v>BANCO MONEO S.A. - PRUDENCIAL</v>
          </cell>
          <cell r="D152">
            <v>1</v>
          </cell>
        </row>
        <row r="153">
          <cell r="A153" t="str">
            <v>SENFFNET IP - PRUDENCIAL</v>
          </cell>
          <cell r="D153">
            <v>1</v>
          </cell>
        </row>
        <row r="154">
          <cell r="A154" t="str">
            <v>CHG-MERIDIAN DO BRASIL AM S.A. - PRUDENCIAL</v>
          </cell>
          <cell r="D154">
            <v>0.25</v>
          </cell>
        </row>
        <row r="155">
          <cell r="A155" t="str">
            <v>ICBC DO BRASIL BM S.A. - PRUDENCIAL</v>
          </cell>
          <cell r="D155">
            <v>0.75</v>
          </cell>
        </row>
        <row r="156">
          <cell r="A156" t="str">
            <v>BANCO KOMATSU DO BRASIL - PRUDENCIAL</v>
          </cell>
          <cell r="D156">
            <v>0.75</v>
          </cell>
        </row>
        <row r="157">
          <cell r="A157" t="str">
            <v>BBVA BRASIL BI S.A. - PRUDENCIAL</v>
          </cell>
          <cell r="D157">
            <v>1</v>
          </cell>
        </row>
        <row r="158">
          <cell r="A158" t="str">
            <v>BCO ARBI S.A. - PRUDENCIAL</v>
          </cell>
          <cell r="D158">
            <v>0.75</v>
          </cell>
        </row>
        <row r="159">
          <cell r="A159" t="str">
            <v>WISE BRASIL CC - PRUDENCIAL</v>
          </cell>
          <cell r="D159">
            <v>0.75</v>
          </cell>
        </row>
        <row r="160">
          <cell r="A160" t="str">
            <v>DESENBAHIA AG FOMENTO BAHIA SA - PRUDENCIAL</v>
          </cell>
          <cell r="D160">
            <v>1</v>
          </cell>
        </row>
        <row r="161">
          <cell r="A161" t="str">
            <v>EMPRESA BRASILEIRA DE BENEFICIOS E PAGAMENTOS IP -</v>
          </cell>
          <cell r="D161">
            <v>1</v>
          </cell>
        </row>
        <row r="162">
          <cell r="A162" t="str">
            <v>STARA FINANCEIRA S.A. - CFI - PRUDENCIAL</v>
          </cell>
          <cell r="D162">
            <v>0.75</v>
          </cell>
        </row>
        <row r="163">
          <cell r="A163" t="str">
            <v>CARUANA SCFI - PRUDENCIAL</v>
          </cell>
          <cell r="D163">
            <v>0.75</v>
          </cell>
        </row>
        <row r="164">
          <cell r="A164" t="str">
            <v>BANCO SEMEAR - PRUDENCIAL</v>
          </cell>
          <cell r="D164">
            <v>1</v>
          </cell>
        </row>
        <row r="165">
          <cell r="A165" t="str">
            <v>NATURA &amp;CO PAY SCD</v>
          </cell>
          <cell r="D165">
            <v>0.75</v>
          </cell>
        </row>
        <row r="166">
          <cell r="A166" t="str">
            <v>STARK SCD - PRUDENCIAL</v>
          </cell>
          <cell r="D166">
            <v>0.5</v>
          </cell>
        </row>
        <row r="167">
          <cell r="A167" t="str">
            <v>BANCO B3 - PRUDENCIAL</v>
          </cell>
          <cell r="D167">
            <v>0.75</v>
          </cell>
        </row>
        <row r="168">
          <cell r="A168" t="str">
            <v>BPCE EQUIPMENT AM - PRUDENCIAL</v>
          </cell>
          <cell r="D168">
            <v>0.75</v>
          </cell>
        </row>
        <row r="169">
          <cell r="A169" t="str">
            <v>WORLDPAY DO BRASIL IP - PRUDENCIAL</v>
          </cell>
          <cell r="D169">
            <v>0.5</v>
          </cell>
        </row>
        <row r="170">
          <cell r="A170" t="str">
            <v>FATOR - PRUDENCIAL</v>
          </cell>
          <cell r="D170">
            <v>0.5</v>
          </cell>
        </row>
        <row r="171">
          <cell r="A171" t="str">
            <v>DLOCAL BRASIL INSTITUIÇÃO DE PAGAMENTO - PRUDENCIA</v>
          </cell>
          <cell r="D171">
            <v>0.75</v>
          </cell>
        </row>
        <row r="172">
          <cell r="A172" t="str">
            <v>BCO WOORI BANK DO BRASIL S.A. - PRUDENCIAL</v>
          </cell>
          <cell r="D172">
            <v>0.5</v>
          </cell>
        </row>
        <row r="173">
          <cell r="A173" t="str">
            <v>CSILATINA A.M. S.A. - PRUDENCIAL</v>
          </cell>
          <cell r="D173">
            <v>0.25</v>
          </cell>
        </row>
        <row r="174">
          <cell r="A174" t="str">
            <v>BANCO TRAVELEX - PRUDENCIAL</v>
          </cell>
          <cell r="D174">
            <v>1</v>
          </cell>
        </row>
        <row r="175">
          <cell r="A175" t="str">
            <v>BANCO XCMG BRASIL - PRUDENCIAL</v>
          </cell>
          <cell r="D175">
            <v>0.75</v>
          </cell>
        </row>
        <row r="176">
          <cell r="A176" t="str">
            <v>BOA VIAGEM SCC LTDA. - PRUDENCIAL</v>
          </cell>
          <cell r="D176">
            <v>0.75</v>
          </cell>
        </row>
        <row r="177">
          <cell r="A177" t="str">
            <v>AGROLEND SCFI - PRUDENCIAL</v>
          </cell>
          <cell r="D177">
            <v>0.75</v>
          </cell>
        </row>
        <row r="178">
          <cell r="A178" t="str">
            <v>MIRAE ASSET (BRASIL) CCTVM - PRUDENCIAL</v>
          </cell>
          <cell r="D178">
            <v>1</v>
          </cell>
        </row>
        <row r="179">
          <cell r="A179" t="str">
            <v>ZEMA CFI - PRUDENCIAL</v>
          </cell>
          <cell r="D179">
            <v>1</v>
          </cell>
        </row>
        <row r="180">
          <cell r="A180" t="str">
            <v>LEBES FINANCEIRA S.A. - CFI - PRUDENCIAL</v>
          </cell>
          <cell r="D180">
            <v>1</v>
          </cell>
        </row>
        <row r="181">
          <cell r="A181" t="str">
            <v>CREDIARE CFI - PRUDENCIAL</v>
          </cell>
          <cell r="D181">
            <v>0.75</v>
          </cell>
        </row>
        <row r="182">
          <cell r="A182" t="str">
            <v>REAG TRUST DTVM - PRUDENCIAL</v>
          </cell>
          <cell r="D182">
            <v>0.75</v>
          </cell>
        </row>
        <row r="183">
          <cell r="A183" t="str">
            <v>AGENCIA FOMENTO EST RJ S.A. - PRUDENCIAL</v>
          </cell>
          <cell r="D183">
            <v>0.75</v>
          </cell>
        </row>
        <row r="184">
          <cell r="A184" t="str">
            <v>BCO TRICURY S.A. - PRUDENCIAL</v>
          </cell>
          <cell r="D184">
            <v>0.75</v>
          </cell>
        </row>
        <row r="185">
          <cell r="A185" t="str">
            <v>CREDI SHOP S.A. - PRUDENCIAL</v>
          </cell>
          <cell r="D185">
            <v>0.75</v>
          </cell>
        </row>
        <row r="186">
          <cell r="A186" t="str">
            <v>CALCARD IP - PRUDENCIAL</v>
          </cell>
          <cell r="D186">
            <v>0.25</v>
          </cell>
        </row>
        <row r="187">
          <cell r="A187" t="str">
            <v>AME DIGITAL BRASIL IP - PRUDENCIAL</v>
          </cell>
          <cell r="D187">
            <v>0.75</v>
          </cell>
        </row>
        <row r="188">
          <cell r="A188" t="str">
            <v>EFI S.A. IP - PRUDENCIAL</v>
          </cell>
          <cell r="D188">
            <v>0.75</v>
          </cell>
        </row>
        <row r="189">
          <cell r="A189" t="str">
            <v>VR - PRUDENCIAL</v>
          </cell>
          <cell r="D189">
            <v>0.25</v>
          </cell>
        </row>
        <row r="190">
          <cell r="A190" t="str">
            <v>QUERO-QUERO VERDECARD IP - PRUDENCIAL</v>
          </cell>
          <cell r="D190">
            <v>1</v>
          </cell>
        </row>
        <row r="191">
          <cell r="A191" t="str">
            <v>BLU IP - PRUDENCIAL</v>
          </cell>
          <cell r="D191">
            <v>0.75</v>
          </cell>
        </row>
        <row r="192">
          <cell r="A192" t="str">
            <v>BULLLA IP - PRUDENCIAL</v>
          </cell>
          <cell r="D192">
            <v>0.25</v>
          </cell>
        </row>
        <row r="193">
          <cell r="A193" t="str">
            <v>CLARA IP - PRUDENCIAL</v>
          </cell>
          <cell r="D193">
            <v>0.25</v>
          </cell>
        </row>
        <row r="194">
          <cell r="A194" t="str">
            <v>BANQI IP - PRUDENCIAL</v>
          </cell>
          <cell r="D194">
            <v>1</v>
          </cell>
        </row>
        <row r="195">
          <cell r="A195" t="str">
            <v>SIMPALA CFI - PRUDENCIAL</v>
          </cell>
          <cell r="D195">
            <v>0.75</v>
          </cell>
        </row>
        <row r="196">
          <cell r="A196" t="str">
            <v>VIA CERTA CFI - PRUDENCIAL</v>
          </cell>
          <cell r="D196">
            <v>1</v>
          </cell>
        </row>
        <row r="197">
          <cell r="A197" t="str">
            <v>SUPERLÓGICA SCD PRUDENCIAL</v>
          </cell>
          <cell r="D197">
            <v>0.75</v>
          </cell>
        </row>
        <row r="198">
          <cell r="A198" t="str">
            <v>MÊNTORE IP - PRUDENCIAL</v>
          </cell>
          <cell r="D198">
            <v>1</v>
          </cell>
        </row>
        <row r="199">
          <cell r="A199" t="str">
            <v>OLIVEIRA TRUST DTVM S.A. - PRUDENCIAL</v>
          </cell>
          <cell r="D199">
            <v>0.75</v>
          </cell>
        </row>
        <row r="200">
          <cell r="A200" t="str">
            <v>OKTO IP - PRUDENCIAL</v>
          </cell>
          <cell r="D200">
            <v>0.25</v>
          </cell>
        </row>
        <row r="201">
          <cell r="A201" t="str">
            <v>PROVER PROMOCAO DE VENDAS IP - PRUDENCIAL</v>
          </cell>
          <cell r="D201">
            <v>0.75</v>
          </cell>
        </row>
        <row r="202">
          <cell r="A202" t="str">
            <v>SOCINAL S.A. CFI - PRUDENCIAL</v>
          </cell>
          <cell r="D202">
            <v>0.75</v>
          </cell>
        </row>
        <row r="203">
          <cell r="A203" t="str">
            <v>KREDILIG S.A. - CFI - PRUDENCIAL</v>
          </cell>
          <cell r="D203">
            <v>1</v>
          </cell>
        </row>
        <row r="204">
          <cell r="A204" t="str">
            <v>GAZINCRED SCFI - PRUDENCIAL</v>
          </cell>
          <cell r="D204">
            <v>1</v>
          </cell>
        </row>
        <row r="205">
          <cell r="A205" t="str">
            <v>AGORACRED S/A SCFI - PRUDENCIAL</v>
          </cell>
          <cell r="D205">
            <v>1</v>
          </cell>
        </row>
        <row r="206">
          <cell r="A206" t="str">
            <v>PINBANK BRASIL IP - PRUDENCIAL</v>
          </cell>
          <cell r="D206">
            <v>0.75</v>
          </cell>
        </row>
        <row r="207">
          <cell r="A207" t="str">
            <v>ASTRO IP - PRUDENCIAL</v>
          </cell>
          <cell r="D207">
            <v>0.25</v>
          </cell>
        </row>
        <row r="208">
          <cell r="A208" t="str">
            <v>GOWD IP - PRUDENCIAL</v>
          </cell>
          <cell r="D208">
            <v>0.25</v>
          </cell>
        </row>
        <row r="209">
          <cell r="A209" t="str">
            <v>NEGRESCO S.A. - CFI - PRUDENCIAL</v>
          </cell>
          <cell r="D209">
            <v>1</v>
          </cell>
        </row>
        <row r="210">
          <cell r="A210" t="str">
            <v>FINAMAX S.A. CFI - PRUDENCIAL</v>
          </cell>
          <cell r="D210">
            <v>0.75</v>
          </cell>
        </row>
        <row r="211">
          <cell r="A211" t="str">
            <v>TENTOS CFI - PRUDENCIAL</v>
          </cell>
          <cell r="D211">
            <v>0.75</v>
          </cell>
        </row>
        <row r="212">
          <cell r="A212" t="str">
            <v>BGC LIQUIDEZ DTVM LTDA - PRUDENCIAL</v>
          </cell>
          <cell r="D212">
            <v>0.75</v>
          </cell>
        </row>
        <row r="213">
          <cell r="A213" t="str">
            <v>ONEKEY PAYMENTS IP - PRUDENCIAL</v>
          </cell>
          <cell r="D213">
            <v>0.25</v>
          </cell>
        </row>
        <row r="214">
          <cell r="A214" t="str">
            <v>SANTINVEST - PRUDENCIAL</v>
          </cell>
          <cell r="D214">
            <v>0.75</v>
          </cell>
        </row>
        <row r="215">
          <cell r="A215" t="str">
            <v>BEES IP - PRUDENCIAL</v>
          </cell>
          <cell r="D215">
            <v>0.75</v>
          </cell>
        </row>
        <row r="216">
          <cell r="A216" t="str">
            <v>VIC DTVM S/A - PRUDENCIAL</v>
          </cell>
          <cell r="D216">
            <v>0.75</v>
          </cell>
        </row>
        <row r="217">
          <cell r="A217" t="str">
            <v>OXY CH - PRUDENCIAL</v>
          </cell>
          <cell r="D217">
            <v>0.75</v>
          </cell>
        </row>
        <row r="218">
          <cell r="A218" t="str">
            <v>LAUNCH PAD SCD - PRUDENCIAL</v>
          </cell>
          <cell r="D218">
            <v>0.75</v>
          </cell>
        </row>
        <row r="219">
          <cell r="A219" t="str">
            <v>PAGUEVELOZ IP - PRUDENCIAL</v>
          </cell>
          <cell r="D219">
            <v>0.5</v>
          </cell>
        </row>
        <row r="220">
          <cell r="A220" t="str">
            <v>STRADA PAY IP - PRUDENCIAL</v>
          </cell>
          <cell r="D220">
            <v>0.75</v>
          </cell>
        </row>
        <row r="221">
          <cell r="A221" t="str">
            <v>OPEA SCD - PRUDENCIAL</v>
          </cell>
          <cell r="D221">
            <v>0.75</v>
          </cell>
        </row>
        <row r="222">
          <cell r="A222" t="str">
            <v>STONEX DTVM - PRUDENCIAL</v>
          </cell>
          <cell r="D222">
            <v>1</v>
          </cell>
        </row>
        <row r="223">
          <cell r="A223" t="str">
            <v>WESTERN UNION - PRUDENCIAL</v>
          </cell>
          <cell r="D223">
            <v>1</v>
          </cell>
        </row>
        <row r="224">
          <cell r="A224" t="str">
            <v>BK IP - PRUDENCIAL</v>
          </cell>
          <cell r="D224">
            <v>0.75</v>
          </cell>
        </row>
        <row r="225">
          <cell r="A225" t="str">
            <v>ACG IP - PRUDENCIAL</v>
          </cell>
          <cell r="D225">
            <v>0.75</v>
          </cell>
        </row>
        <row r="226">
          <cell r="A226" t="str">
            <v>BRAZA BANK BCO CÂMBIO - PRUDENCIAL</v>
          </cell>
          <cell r="D226">
            <v>1</v>
          </cell>
        </row>
        <row r="227">
          <cell r="A227" t="str">
            <v>ATIVA S.A. CTCV - PRUDENCIAL</v>
          </cell>
          <cell r="D227">
            <v>1</v>
          </cell>
        </row>
        <row r="228">
          <cell r="A228" t="str">
            <v>AVENUE SECURITIES DTVM - PRUDENCIAL</v>
          </cell>
          <cell r="D228">
            <v>1</v>
          </cell>
        </row>
        <row r="229">
          <cell r="A229" t="str">
            <v>EQI INVESTIMENTOS CTVM - PRUDENCIAL</v>
          </cell>
          <cell r="D229">
            <v>1</v>
          </cell>
        </row>
        <row r="230">
          <cell r="A230" t="str">
            <v>TRANSFEERA IP - PRUDENCIAL</v>
          </cell>
          <cell r="D230">
            <v>0.75</v>
          </cell>
        </row>
        <row r="231">
          <cell r="A231" t="str">
            <v>AFEAM - PRUDENCIAL</v>
          </cell>
          <cell r="D231">
            <v>0.75</v>
          </cell>
        </row>
        <row r="232">
          <cell r="A232" t="str">
            <v>DELCRED SCD - PRUDENCIAL</v>
          </cell>
          <cell r="D232">
            <v>0.75</v>
          </cell>
        </row>
        <row r="233">
          <cell r="A233" t="str">
            <v>COOPER CARD IP - PRUDENCIAL</v>
          </cell>
          <cell r="D233">
            <v>0.5</v>
          </cell>
        </row>
        <row r="234">
          <cell r="A234" t="str">
            <v>SINOSSERRA FINANCEIRA S/A - PRUDENCIAL</v>
          </cell>
          <cell r="D234">
            <v>0.75</v>
          </cell>
        </row>
        <row r="235">
          <cell r="A235" t="str">
            <v>EBURY BANCO DE CÂMBIO - PRUDENCIAL</v>
          </cell>
          <cell r="D235">
            <v>1</v>
          </cell>
        </row>
        <row r="236">
          <cell r="A236" t="str">
            <v>AGÊNCIA DE FOMENTO MATO GROSSO - PRUDENCIAL</v>
          </cell>
          <cell r="D236">
            <v>0.75</v>
          </cell>
        </row>
        <row r="237">
          <cell r="A237" t="str">
            <v>PLUXEE IP - PRUDENCIAL</v>
          </cell>
          <cell r="D237">
            <v>0.75</v>
          </cell>
        </row>
        <row r="238">
          <cell r="A238" t="str">
            <v>CARTOS SCD - PRUDENCIAL</v>
          </cell>
          <cell r="D238">
            <v>1</v>
          </cell>
        </row>
        <row r="239">
          <cell r="A239" t="str">
            <v>SUL AMERICA INVEST DTVM S.A. - PRUDENCIAL</v>
          </cell>
          <cell r="D239">
            <v>0.75</v>
          </cell>
        </row>
        <row r="240">
          <cell r="A240" t="str">
            <v>EAGLE SCD - PRUDENCIAL</v>
          </cell>
          <cell r="D240">
            <v>1</v>
          </cell>
        </row>
        <row r="241">
          <cell r="A241" t="str">
            <v>MONTE BRAVO CTVM - PRUDENCIAL</v>
          </cell>
          <cell r="D241">
            <v>0.75</v>
          </cell>
        </row>
        <row r="242">
          <cell r="A242" t="str">
            <v>TULLETT PREBON BRASIL S.A. CTVM - PRUDENCIAL</v>
          </cell>
          <cell r="D242">
            <v>1</v>
          </cell>
        </row>
        <row r="243">
          <cell r="A243" t="str">
            <v>C&amp;A PAY SCD - PRUDENCIAL</v>
          </cell>
          <cell r="D243">
            <v>0.25</v>
          </cell>
        </row>
        <row r="244">
          <cell r="A244" t="str">
            <v>BRINKS PAY IP - PRUDENCIAL</v>
          </cell>
          <cell r="D244">
            <v>0.5</v>
          </cell>
        </row>
        <row r="245">
          <cell r="A245" t="str">
            <v>MAF-BRL TRUST - PRUDENCIAL</v>
          </cell>
          <cell r="D245">
            <v>0.75</v>
          </cell>
        </row>
        <row r="246">
          <cell r="A246" t="str">
            <v>PAY4FUN IP S.A. - PRUDENCIAL</v>
          </cell>
          <cell r="D246">
            <v>0.5</v>
          </cell>
        </row>
        <row r="247">
          <cell r="A247" t="str">
            <v>URBANO SCFI - PRUDENCIAL</v>
          </cell>
          <cell r="D247">
            <v>0.75</v>
          </cell>
        </row>
        <row r="248">
          <cell r="A248" t="str">
            <v>ASA SCD - PRUDENCIAL</v>
          </cell>
          <cell r="D248">
            <v>0.75</v>
          </cell>
        </row>
        <row r="249">
          <cell r="A249" t="str">
            <v>BCO LA PROVINCIA B AIRES BCE - PRUDENCIAL</v>
          </cell>
          <cell r="D249">
            <v>0.25</v>
          </cell>
        </row>
        <row r="250">
          <cell r="A250" t="str">
            <v>MERCADO BITCOIN IP - PRUDENCIAL</v>
          </cell>
          <cell r="D250">
            <v>0.5</v>
          </cell>
        </row>
        <row r="251">
          <cell r="A251" t="str">
            <v>OSLO CAPITAL DTVM S.A. - PRUDENCIAL</v>
          </cell>
          <cell r="D251">
            <v>0.5</v>
          </cell>
        </row>
        <row r="252">
          <cell r="A252" t="str">
            <v>PLANTAE CFI - PRUDENCIAL</v>
          </cell>
          <cell r="D252">
            <v>0.75</v>
          </cell>
        </row>
        <row r="253">
          <cell r="A253" t="str">
            <v>PLANNER - PRUDENCIAL</v>
          </cell>
          <cell r="D253">
            <v>0.75</v>
          </cell>
        </row>
        <row r="254">
          <cell r="A254" t="str">
            <v>SERVNET IP - PRUDENCIAL</v>
          </cell>
          <cell r="D254">
            <v>0.25</v>
          </cell>
        </row>
        <row r="255">
          <cell r="A255" t="str">
            <v>BCO LA NACION ARGENTINA - PRUDENCIAL</v>
          </cell>
          <cell r="D255">
            <v>0.75</v>
          </cell>
        </row>
        <row r="256">
          <cell r="A256" t="str">
            <v>CAPPTA IP - PRUDENCIAL</v>
          </cell>
          <cell r="D256">
            <v>0.75</v>
          </cell>
        </row>
        <row r="257">
          <cell r="A257" t="str">
            <v>SRM BANK IP - PRUDENCIAL</v>
          </cell>
          <cell r="D257">
            <v>0.75</v>
          </cell>
        </row>
        <row r="258">
          <cell r="A258" t="str">
            <v>ROADCARD IP - PRUDENCIAL</v>
          </cell>
          <cell r="D258">
            <v>0.25</v>
          </cell>
        </row>
        <row r="259">
          <cell r="A259" t="str">
            <v>PIAUÍ FOMENTO - PRUDENCIAL</v>
          </cell>
          <cell r="D259">
            <v>0.75</v>
          </cell>
        </row>
        <row r="260">
          <cell r="A260" t="str">
            <v>PAGSMILE IP - PRUDENCIAL</v>
          </cell>
          <cell r="D260">
            <v>0.75</v>
          </cell>
        </row>
        <row r="261">
          <cell r="A261" t="str">
            <v>CREDITÁ S.A. CFI - PRUDENCIAL</v>
          </cell>
          <cell r="D261">
            <v>0.75</v>
          </cell>
        </row>
        <row r="262">
          <cell r="A262" t="str">
            <v>FFCRED SCD - PRUDENCIAL</v>
          </cell>
          <cell r="D262">
            <v>0.5</v>
          </cell>
        </row>
        <row r="263">
          <cell r="A263" t="str">
            <v>INOVANTI IP - PRUDENCIAL</v>
          </cell>
          <cell r="D263">
            <v>0.75</v>
          </cell>
        </row>
        <row r="264">
          <cell r="A264" t="str">
            <v>ACTUAL DTVM - PRUDENCIAL</v>
          </cell>
          <cell r="D264">
            <v>0.25</v>
          </cell>
        </row>
        <row r="265">
          <cell r="A265" t="str">
            <v>SEFER INVESTIMENTOS DTVM - PRUDENCIAL</v>
          </cell>
          <cell r="D265">
            <v>0.5</v>
          </cell>
        </row>
        <row r="266">
          <cell r="A266" t="str">
            <v>GOOGLE PAY BRASIL IP - PRUDENCIAL</v>
          </cell>
          <cell r="D266">
            <v>0.75</v>
          </cell>
        </row>
        <row r="267">
          <cell r="A267" t="str">
            <v>ACQIO ADQUIRENCIA IP - PRUDENCIAL</v>
          </cell>
          <cell r="D267">
            <v>0.25</v>
          </cell>
        </row>
        <row r="268">
          <cell r="A268" t="str">
            <v>LECCA - PRUDENCIAL</v>
          </cell>
          <cell r="D268">
            <v>0.5</v>
          </cell>
        </row>
        <row r="269">
          <cell r="A269" t="str">
            <v>CM CAPITAL MARKETS - PRUDENCIAL</v>
          </cell>
          <cell r="D269">
            <v>0.75</v>
          </cell>
        </row>
        <row r="270">
          <cell r="A270" t="str">
            <v>POMELO IP - PRUDENCIAL</v>
          </cell>
          <cell r="D270">
            <v>0.5</v>
          </cell>
        </row>
        <row r="271">
          <cell r="A271" t="str">
            <v>NOVA FUTURA CTVM LTDA - PRUDENCIAL</v>
          </cell>
          <cell r="D271">
            <v>0.75</v>
          </cell>
        </row>
        <row r="272">
          <cell r="A272" t="str">
            <v>BELLUNO IP - PRUDENCIAL</v>
          </cell>
          <cell r="D272">
            <v>0.25</v>
          </cell>
        </row>
        <row r="273">
          <cell r="A273" t="str">
            <v>FLAGSHIP IP - PRUDENCIAL</v>
          </cell>
          <cell r="D273">
            <v>0.75</v>
          </cell>
        </row>
        <row r="274">
          <cell r="A274" t="str">
            <v>ATRIA S.A. - CFI - PRUDENCIAL</v>
          </cell>
          <cell r="D274">
            <v>0.75</v>
          </cell>
        </row>
        <row r="275">
          <cell r="A275" t="str">
            <v>JBCRED S.A. SCFI - PRUDENCIAL</v>
          </cell>
          <cell r="D275">
            <v>0.75</v>
          </cell>
        </row>
        <row r="276">
          <cell r="A276" t="str">
            <v>BANCO RNX S.A. - PRUDENCIAL</v>
          </cell>
          <cell r="D276">
            <v>0.75</v>
          </cell>
        </row>
        <row r="277">
          <cell r="A277" t="str">
            <v>REVOLUT SCD - PRUDENCIAL</v>
          </cell>
          <cell r="D277">
            <v>0.75</v>
          </cell>
        </row>
        <row r="278">
          <cell r="A278" t="str">
            <v>FORIS GFS BR IP - PRUDENCIAL</v>
          </cell>
          <cell r="D278">
            <v>0.75</v>
          </cell>
        </row>
        <row r="279">
          <cell r="A279" t="str">
            <v>ZERO IP - PRUDENCIAL</v>
          </cell>
          <cell r="D279">
            <v>0.75</v>
          </cell>
        </row>
        <row r="280">
          <cell r="A280" t="str">
            <v>NVIO BRASIL BITSO IP - PRUDENCIAL</v>
          </cell>
          <cell r="D280">
            <v>0.5</v>
          </cell>
        </row>
        <row r="281">
          <cell r="A281" t="str">
            <v>GALAPAGOS CAPITAL DTVM - PRUDENCIAL</v>
          </cell>
          <cell r="D281">
            <v>0.75</v>
          </cell>
        </row>
        <row r="282">
          <cell r="A282" t="str">
            <v>TRIO IP - PRUDENCIAL</v>
          </cell>
          <cell r="D282">
            <v>0.75</v>
          </cell>
        </row>
        <row r="283">
          <cell r="A283" t="str">
            <v>PAGCERTO IP - PRUDENCIAL</v>
          </cell>
          <cell r="D283">
            <v>0.75</v>
          </cell>
        </row>
        <row r="284">
          <cell r="A284" t="str">
            <v>SITA SCCVM S.A. - PRUDENCIAL</v>
          </cell>
          <cell r="D284">
            <v>0.75</v>
          </cell>
        </row>
        <row r="285">
          <cell r="A285" t="str">
            <v>CLARO PAY IP - PRUDENCIAL</v>
          </cell>
          <cell r="D285">
            <v>0.5</v>
          </cell>
        </row>
        <row r="286">
          <cell r="A286" t="str">
            <v>AGENCIA DE FOMENTO DO RN S.A. - PRUDENCIAL</v>
          </cell>
          <cell r="D286">
            <v>0.75</v>
          </cell>
        </row>
        <row r="287">
          <cell r="A287" t="str">
            <v>LIONS TRUST DTVM PRUDENCIAL</v>
          </cell>
          <cell r="D287">
            <v>0.75</v>
          </cell>
        </row>
        <row r="288">
          <cell r="A288" t="str">
            <v>GRAZZIOTIN FINANCEIRA - PRUDENCIAL</v>
          </cell>
          <cell r="D288">
            <v>0.75</v>
          </cell>
        </row>
        <row r="289">
          <cell r="A289" t="str">
            <v>FAIR CC S.A. - PRUDENCIAL</v>
          </cell>
          <cell r="D289">
            <v>0.75</v>
          </cell>
        </row>
        <row r="290">
          <cell r="A290" t="str">
            <v>BCO CEDULA S.A. - PRUDENCIAL</v>
          </cell>
          <cell r="D290">
            <v>1</v>
          </cell>
        </row>
        <row r="291">
          <cell r="A291" t="str">
            <v>BCO INDUSCRED DE INVESTIM. S/A - PRUDENCIAL</v>
          </cell>
          <cell r="D291">
            <v>0.75</v>
          </cell>
        </row>
        <row r="292">
          <cell r="A292" t="str">
            <v>KANASTRA FINANCEIRA CFI - PRUDENCIAL</v>
          </cell>
          <cell r="D292">
            <v>0.75</v>
          </cell>
        </row>
        <row r="293">
          <cell r="A293" t="str">
            <v>ACCREDITO SCD - PRUDENCIAL</v>
          </cell>
          <cell r="D293">
            <v>0.75</v>
          </cell>
        </row>
        <row r="294">
          <cell r="A294" t="str">
            <v>FIDUCIA SCMEPP LTDA - PRUDENCIAL</v>
          </cell>
          <cell r="D294">
            <v>0.75</v>
          </cell>
        </row>
        <row r="295">
          <cell r="A295" t="str">
            <v>AF ESTADO DE PERNAMBUCO S.A. - PRUDENCIAL</v>
          </cell>
          <cell r="D295">
            <v>0.75</v>
          </cell>
        </row>
        <row r="296">
          <cell r="A296" t="str">
            <v>Z-ON SCD - PRUDENCIAL</v>
          </cell>
          <cell r="D296">
            <v>0.75</v>
          </cell>
        </row>
        <row r="297">
          <cell r="A297" t="str">
            <v>LP DO BRASIL IP - PRUDENCIAL</v>
          </cell>
          <cell r="D297">
            <v>0.25</v>
          </cell>
        </row>
        <row r="298">
          <cell r="A298" t="str">
            <v>ADVANCED CC LTDA - PRUDENCIAL</v>
          </cell>
          <cell r="D298">
            <v>1</v>
          </cell>
        </row>
        <row r="299">
          <cell r="A299" t="str">
            <v>DIRECAO S.A. CFI - PRUDENCIAL</v>
          </cell>
          <cell r="D299">
            <v>0.75</v>
          </cell>
        </row>
        <row r="300">
          <cell r="A300" t="str">
            <v>AG. FOMENTO ESTADO DO TOCANTINS - PRUDENCIAL</v>
          </cell>
          <cell r="D300">
            <v>0.75</v>
          </cell>
        </row>
        <row r="301">
          <cell r="A301" t="str">
            <v>HINOVA PAY IP - PRUDENCIAL</v>
          </cell>
          <cell r="D301">
            <v>0.75</v>
          </cell>
        </row>
        <row r="302">
          <cell r="A302" t="str">
            <v>CONTA PRONTA IP - PRUDENCIAL</v>
          </cell>
          <cell r="D302">
            <v>0.5</v>
          </cell>
        </row>
        <row r="303">
          <cell r="A303" t="str">
            <v>HEMERA DTVM - PRUDENCIAL</v>
          </cell>
          <cell r="D303">
            <v>0.5</v>
          </cell>
        </row>
        <row r="304">
          <cell r="A304" t="str">
            <v>CREDITAS SCD - PRUDENCIAL</v>
          </cell>
          <cell r="D304">
            <v>0.75</v>
          </cell>
        </row>
        <row r="305">
          <cell r="A305" t="str">
            <v>UY3 SCD - PRUDENCIAL</v>
          </cell>
          <cell r="D305">
            <v>1</v>
          </cell>
        </row>
        <row r="306">
          <cell r="A306" t="str">
            <v>ID CTVM - PRUDENCIAL</v>
          </cell>
          <cell r="D306">
            <v>0.5</v>
          </cell>
        </row>
        <row r="307">
          <cell r="A307" t="str">
            <v>H.H.PICCHIONI - PRUDENCIAL</v>
          </cell>
          <cell r="D307">
            <v>0.5</v>
          </cell>
        </row>
        <row r="308">
          <cell r="A308" t="str">
            <v>ARTTA SCD PRUDENCIAL</v>
          </cell>
          <cell r="D308">
            <v>0.25</v>
          </cell>
        </row>
        <row r="309">
          <cell r="A309" t="str">
            <v>ECONOMIA CI S.A.-ECONOMISA - PRUDENCIAL</v>
          </cell>
          <cell r="D309">
            <v>0.5</v>
          </cell>
        </row>
        <row r="310">
          <cell r="A310" t="str">
            <v>PAGOL SCD - PRUDENCIAL</v>
          </cell>
          <cell r="D310">
            <v>0.5</v>
          </cell>
        </row>
        <row r="311">
          <cell r="A311" t="str">
            <v>MOVA SEP - PRUDENCIAL</v>
          </cell>
          <cell r="D311">
            <v>0.5</v>
          </cell>
        </row>
        <row r="312">
          <cell r="A312" t="str">
            <v>MONEYCORP - PRUDENCIAL</v>
          </cell>
          <cell r="D312">
            <v>0.75</v>
          </cell>
        </row>
        <row r="313">
          <cell r="A313" t="str">
            <v>PAYMEE BRASIL IP - PRUDENCIAL</v>
          </cell>
          <cell r="D313">
            <v>0.75</v>
          </cell>
        </row>
        <row r="314">
          <cell r="A314" t="str">
            <v>OM DTVM LTDA - PRUDENCIAL</v>
          </cell>
          <cell r="D314">
            <v>0.75</v>
          </cell>
        </row>
        <row r="315">
          <cell r="A315" t="str">
            <v>CREFAZ SCMEPP - PRUDENCIAL</v>
          </cell>
          <cell r="D315">
            <v>1</v>
          </cell>
        </row>
        <row r="316">
          <cell r="A316" t="str">
            <v>PROTEGE CASH IP PRUDENCIAL</v>
          </cell>
          <cell r="D316">
            <v>0.5</v>
          </cell>
        </row>
        <row r="317">
          <cell r="A317" t="str">
            <v>SOMAPAY SCD - PRUDENCIAL</v>
          </cell>
          <cell r="D317">
            <v>0.75</v>
          </cell>
        </row>
        <row r="318">
          <cell r="A318" t="str">
            <v>CODEPE CORRETORA DE VAL. S.A. - PRUDENCIAL</v>
          </cell>
          <cell r="D318">
            <v>0.75</v>
          </cell>
        </row>
        <row r="319">
          <cell r="A319" t="str">
            <v>AFAL - PRUDENCIAL</v>
          </cell>
          <cell r="D319">
            <v>0.75</v>
          </cell>
        </row>
        <row r="320">
          <cell r="A320" t="str">
            <v>SUPERBID PAY IP - PRUDENCIAL</v>
          </cell>
          <cell r="D320">
            <v>0.75</v>
          </cell>
        </row>
        <row r="321">
          <cell r="A321" t="str">
            <v>INTEX BANK BCO CÂMBIO - PRUDENCIAL</v>
          </cell>
          <cell r="D321">
            <v>0.75</v>
          </cell>
        </row>
        <row r="322">
          <cell r="A322" t="str">
            <v>FINNET S/A TECNOLOGIA E IP - PRUDENCIAL</v>
          </cell>
          <cell r="D322">
            <v>0.25</v>
          </cell>
        </row>
        <row r="323">
          <cell r="A323" t="str">
            <v>VALOR CFI - PRUDENCIAL</v>
          </cell>
          <cell r="D323">
            <v>0.75</v>
          </cell>
        </row>
        <row r="324">
          <cell r="A324" t="str">
            <v>CAPITAL CONSIG SCD - PRUDENCIAL</v>
          </cell>
          <cell r="D324">
            <v>1</v>
          </cell>
        </row>
        <row r="325">
          <cell r="A325" t="str">
            <v>NG CASH IP - PRUDENCIAL</v>
          </cell>
          <cell r="D325">
            <v>0.5</v>
          </cell>
        </row>
        <row r="326">
          <cell r="A326" t="str">
            <v>MICROCASH SCMEPP - PRUDENCIAL</v>
          </cell>
          <cell r="D326">
            <v>0.5</v>
          </cell>
        </row>
        <row r="327">
          <cell r="A327" t="str">
            <v>BRASIL CASH IP - PRUDENCIAL</v>
          </cell>
          <cell r="D327">
            <v>0.25</v>
          </cell>
        </row>
        <row r="328">
          <cell r="A328" t="str">
            <v>DANK SCD - PRUDENCIAL</v>
          </cell>
          <cell r="D328">
            <v>0.25</v>
          </cell>
        </row>
        <row r="329">
          <cell r="A329" t="str">
            <v>AZUMI DTVM PRUDENCIAL</v>
          </cell>
          <cell r="D329">
            <v>0.5</v>
          </cell>
        </row>
        <row r="330">
          <cell r="A330" t="str">
            <v>GERAL CCVM LTDA - PRUDENCIAL</v>
          </cell>
          <cell r="D330">
            <v>0.5</v>
          </cell>
        </row>
        <row r="331">
          <cell r="A331" t="str">
            <v>GUITTA CC LTDA - PRUDENCIAL</v>
          </cell>
          <cell r="D331">
            <v>0.75</v>
          </cell>
        </row>
        <row r="332">
          <cell r="A332" t="str">
            <v>TAMBASA SCD - PRUDENCIAL</v>
          </cell>
          <cell r="D332">
            <v>0.75</v>
          </cell>
        </row>
        <row r="333">
          <cell r="A333" t="str">
            <v>HEDGEPOINT GLOBAL MARKETS DTVM - PRUDENCIAL</v>
          </cell>
          <cell r="D333">
            <v>0.5</v>
          </cell>
        </row>
        <row r="334">
          <cell r="A334" t="str">
            <v>SMART SOLUTIONS GROUP IP - PRUDENCIAL</v>
          </cell>
          <cell r="D334">
            <v>0.75</v>
          </cell>
        </row>
        <row r="335">
          <cell r="A335" t="str">
            <v>FINAXIS - PRUDENCIAL</v>
          </cell>
          <cell r="D335">
            <v>0.5</v>
          </cell>
        </row>
        <row r="336">
          <cell r="A336" t="str">
            <v>TTSCD SCD - PRUDENCIAL</v>
          </cell>
          <cell r="D336">
            <v>0.5</v>
          </cell>
        </row>
        <row r="337">
          <cell r="A337" t="str">
            <v>PAY2ALL IP - PRUDENCIAL</v>
          </cell>
          <cell r="D337">
            <v>0.5</v>
          </cell>
        </row>
        <row r="338">
          <cell r="A338" t="str">
            <v>ISSUER IP - PRUDENCIAL</v>
          </cell>
          <cell r="D338">
            <v>0.5</v>
          </cell>
        </row>
        <row r="339">
          <cell r="A339" t="str">
            <v>GOLCRED - PRUDENCIAL</v>
          </cell>
          <cell r="D339">
            <v>0.5</v>
          </cell>
        </row>
        <row r="340">
          <cell r="A340" t="str">
            <v>SIMPAUL CCVM - PRUDENCIAL</v>
          </cell>
          <cell r="D340">
            <v>0.75</v>
          </cell>
        </row>
        <row r="341">
          <cell r="A341" t="str">
            <v>RED SCD - PRUDENCIAL</v>
          </cell>
          <cell r="D341">
            <v>0.5</v>
          </cell>
        </row>
        <row r="342">
          <cell r="A342" t="str">
            <v>TRINUS CAPITAL DTVM - PRUDENCIAL</v>
          </cell>
          <cell r="D342">
            <v>0.75</v>
          </cell>
        </row>
        <row r="343">
          <cell r="A343" t="str">
            <v>WE PAY OUT IP - PRUDENCIAL</v>
          </cell>
          <cell r="D343">
            <v>0.25</v>
          </cell>
        </row>
        <row r="344">
          <cell r="A344" t="str">
            <v>PAGHIPER IP - PRUDENCIAL</v>
          </cell>
          <cell r="D344">
            <v>0.5</v>
          </cell>
        </row>
        <row r="345">
          <cell r="A345" t="str">
            <v>LISTO IP - PRUDENCIAL</v>
          </cell>
          <cell r="D345">
            <v>0.25</v>
          </cell>
        </row>
        <row r="346">
          <cell r="A346" t="str">
            <v>RB INVESTIMENTOS DTVM - PRUDENCIAL</v>
          </cell>
          <cell r="D346">
            <v>0.75</v>
          </cell>
        </row>
        <row r="347">
          <cell r="A347" t="str">
            <v>UNIDA DTVM LTDA - PRUDENCIAL</v>
          </cell>
          <cell r="D347">
            <v>0.25</v>
          </cell>
        </row>
        <row r="348">
          <cell r="A348" t="str">
            <v>AGK CC S.A. - PRUDENCIAL</v>
          </cell>
          <cell r="D348">
            <v>0.75</v>
          </cell>
        </row>
        <row r="349">
          <cell r="A349" t="str">
            <v>PINTOS CFI - PRUDENCIAL</v>
          </cell>
          <cell r="D349">
            <v>0.5</v>
          </cell>
        </row>
        <row r="350">
          <cell r="A350" t="str">
            <v>COMPREV CFI - PRUDENCIAL</v>
          </cell>
          <cell r="D350">
            <v>0.25</v>
          </cell>
        </row>
        <row r="351">
          <cell r="A351" t="str">
            <v>BANCO PORTO REAL DE INVEST.S.A - PRUDENCIAL</v>
          </cell>
          <cell r="D351">
            <v>0.5</v>
          </cell>
        </row>
        <row r="352">
          <cell r="A352" t="str">
            <v>PROTOTYPE IP - PRUDENCIAL</v>
          </cell>
          <cell r="D352">
            <v>0.25</v>
          </cell>
        </row>
        <row r="353">
          <cell r="A353" t="str">
            <v>BIGCASH SCD - PRUDENCIAL</v>
          </cell>
          <cell r="D353">
            <v>0.75</v>
          </cell>
        </row>
        <row r="354">
          <cell r="A354" t="str">
            <v>J17 SCD - PRUDENCIAL</v>
          </cell>
          <cell r="D354">
            <v>0.75</v>
          </cell>
        </row>
        <row r="355">
          <cell r="A355" t="str">
            <v>FRENTE CC - PRUDENCIAL</v>
          </cell>
          <cell r="D355">
            <v>0.75</v>
          </cell>
        </row>
        <row r="356">
          <cell r="A356" t="str">
            <v>PAGARE IP - PRUDENCIAL</v>
          </cell>
          <cell r="D356">
            <v>0.25</v>
          </cell>
        </row>
        <row r="357">
          <cell r="A357" t="str">
            <v>F D GOLD DTVM LTDA - PRUDENCIAL</v>
          </cell>
          <cell r="D357">
            <v>0.25</v>
          </cell>
        </row>
        <row r="358">
          <cell r="A358" t="str">
            <v>IP4Y IP - PRUDENCIAL</v>
          </cell>
          <cell r="D358">
            <v>0.5</v>
          </cell>
        </row>
        <row r="359">
          <cell r="A359" t="str">
            <v>TRADERS DTVM - PRUDENCIAL</v>
          </cell>
          <cell r="D359">
            <v>0.5</v>
          </cell>
        </row>
        <row r="360">
          <cell r="A360" t="str">
            <v>COINVALORES - PRUDENCIAL</v>
          </cell>
          <cell r="D360">
            <v>0.5</v>
          </cell>
        </row>
        <row r="361">
          <cell r="A361" t="str">
            <v>BPY CCTVM - PRUDENCIAL</v>
          </cell>
          <cell r="D361">
            <v>0.5</v>
          </cell>
        </row>
        <row r="362">
          <cell r="A362" t="str">
            <v>SER FINANCE SCD - PRUDENCIAL</v>
          </cell>
          <cell r="D362">
            <v>0.5</v>
          </cell>
        </row>
        <row r="363">
          <cell r="A363" t="str">
            <v>PARTNERBANK IP - PRUDENCIAL</v>
          </cell>
          <cell r="D363">
            <v>0.25</v>
          </cell>
        </row>
        <row r="364">
          <cell r="A364" t="str">
            <v>COBANSA CH S.A. - PRUDENCIAL</v>
          </cell>
          <cell r="D364">
            <v>0.5</v>
          </cell>
        </row>
        <row r="365">
          <cell r="A365" t="str">
            <v>BROKER BRASIL CC LTDA. - PRUDENCIAL</v>
          </cell>
          <cell r="D365">
            <v>0.75</v>
          </cell>
        </row>
        <row r="366">
          <cell r="A366" t="str">
            <v>WNT CAPITAL DTVM - PRUDENCIAL</v>
          </cell>
          <cell r="D366">
            <v>0.5</v>
          </cell>
        </row>
        <row r="367">
          <cell r="A367" t="str">
            <v>ASPECIR SCMEPP LTDA. - PRUDENCIAL</v>
          </cell>
          <cell r="D367">
            <v>0.5</v>
          </cell>
        </row>
        <row r="368">
          <cell r="A368" t="str">
            <v>CDC SCD - PRUDENCIAL</v>
          </cell>
          <cell r="D368">
            <v>0.75</v>
          </cell>
        </row>
        <row r="369">
          <cell r="A369" t="str">
            <v>SENSO CCVM S.A. - PRUDENCIAL</v>
          </cell>
          <cell r="D369">
            <v>0.5</v>
          </cell>
        </row>
        <row r="370">
          <cell r="A370" t="str">
            <v>FACILITA IP - PRUDENCIAL</v>
          </cell>
          <cell r="D370">
            <v>0.25</v>
          </cell>
        </row>
        <row r="371">
          <cell r="A371" t="str">
            <v>BNK DIGITAL SCD - PRUDENCIAL</v>
          </cell>
          <cell r="D371">
            <v>0.5</v>
          </cell>
        </row>
        <row r="372">
          <cell r="A372" t="str">
            <v>AG. FOMENTO ESTADO DE RORAIMA - PRUDENCIAL</v>
          </cell>
          <cell r="D372">
            <v>0.5</v>
          </cell>
        </row>
        <row r="373">
          <cell r="A373" t="str">
            <v>VIA CAPITAL SCD - PRUDENCIAL</v>
          </cell>
          <cell r="D373">
            <v>0.75</v>
          </cell>
        </row>
        <row r="374">
          <cell r="A374" t="str">
            <v>GLOBAL EXCHANGE CC - PRUDENCIAL</v>
          </cell>
          <cell r="D374">
            <v>0.75</v>
          </cell>
        </row>
        <row r="375">
          <cell r="A375" t="str">
            <v>SOCIAL BANK BANCO MULTIPLO - PRUDENCIAL</v>
          </cell>
          <cell r="D375">
            <v>0.5</v>
          </cell>
        </row>
        <row r="376">
          <cell r="A376" t="str">
            <v>HEDGE INVESTMENTS - PRUDENCIAL</v>
          </cell>
          <cell r="D376">
            <v>0.5</v>
          </cell>
        </row>
        <row r="377">
          <cell r="A377" t="str">
            <v>INTEGRAL ACCESS DTVM - PRUDENCIAL</v>
          </cell>
          <cell r="D377">
            <v>0.25</v>
          </cell>
        </row>
        <row r="378">
          <cell r="A378" t="str">
            <v>SISPAY IP - PRUDENCIAL</v>
          </cell>
          <cell r="D378">
            <v>0.5</v>
          </cell>
        </row>
        <row r="379">
          <cell r="A379" t="str">
            <v>Z1 INSTITUIÇÃO DE PAGAMENTO - PRUDENCIAL</v>
          </cell>
          <cell r="D379">
            <v>0.25</v>
          </cell>
        </row>
        <row r="380">
          <cell r="A380" t="str">
            <v>UNAVANTI SCD - PRUDENCIAL</v>
          </cell>
          <cell r="D380">
            <v>0.5</v>
          </cell>
        </row>
        <row r="381">
          <cell r="A381" t="str">
            <v>BONUSPAGO SCD - PRUDENCIAL</v>
          </cell>
          <cell r="D381">
            <v>0.5</v>
          </cell>
        </row>
        <row r="382">
          <cell r="A382" t="str">
            <v>AG. FOMENTO AMAPA S.A. - PRUDENCIAL</v>
          </cell>
          <cell r="D382">
            <v>0.5</v>
          </cell>
        </row>
        <row r="383">
          <cell r="A383" t="str">
            <v>AMARIL FRANKLIN CTV LTDA - PRUDENCIAL</v>
          </cell>
          <cell r="D383">
            <v>0.5</v>
          </cell>
        </row>
        <row r="384">
          <cell r="A384" t="str">
            <v>OZ CC - PRUDENCIAL</v>
          </cell>
          <cell r="D384">
            <v>0.75</v>
          </cell>
        </row>
        <row r="385">
          <cell r="A385" t="str">
            <v>FAMILIA PAULISTA CI S.A. - PRUDENCIAL</v>
          </cell>
          <cell r="D385">
            <v>0.5</v>
          </cell>
        </row>
        <row r="386">
          <cell r="A386" t="str">
            <v>LISTO SCD - PRUDENCIAL</v>
          </cell>
          <cell r="D386">
            <v>0.25</v>
          </cell>
        </row>
        <row r="387">
          <cell r="A387" t="str">
            <v>FACEBOOK INSTITUICAO PAGAMENTO - PRUDENCIAL</v>
          </cell>
          <cell r="D387">
            <v>0.25</v>
          </cell>
        </row>
        <row r="388">
          <cell r="A388" t="str">
            <v>EXIM CC LTDA - PRUDENCIAL</v>
          </cell>
          <cell r="D388">
            <v>0.5</v>
          </cell>
        </row>
        <row r="389">
          <cell r="A389" t="str">
            <v>H.COMMCOR DTVM LTDA. - PRUDENCIAL</v>
          </cell>
          <cell r="D389">
            <v>0.5</v>
          </cell>
        </row>
        <row r="390">
          <cell r="A390" t="str">
            <v>OPPORTUNITY - PRUDENCIAL</v>
          </cell>
          <cell r="D390">
            <v>0.5</v>
          </cell>
        </row>
        <row r="391">
          <cell r="A391" t="str">
            <v>COLUNA S.A. DTVM - PRUDENCIAL</v>
          </cell>
          <cell r="D391">
            <v>0.25</v>
          </cell>
        </row>
        <row r="392">
          <cell r="A392" t="str">
            <v>INVEST CC - PRUDENCIAL</v>
          </cell>
          <cell r="D392">
            <v>0.75</v>
          </cell>
        </row>
        <row r="393">
          <cell r="A393" t="str">
            <v>FÊNIX DTVM - PRUDENCIAL</v>
          </cell>
          <cell r="D393">
            <v>0.25</v>
          </cell>
        </row>
        <row r="394">
          <cell r="A394" t="str">
            <v>LEND SCD - PRUDENCIAL</v>
          </cell>
          <cell r="D394">
            <v>0.25</v>
          </cell>
        </row>
        <row r="395">
          <cell r="A395" t="str">
            <v>AZIMUT BRASIL DTVM - PRUDENCIAL</v>
          </cell>
          <cell r="D395">
            <v>0.5</v>
          </cell>
        </row>
        <row r="396">
          <cell r="A396" t="str">
            <v>LINA IP - PRUDENCIAL</v>
          </cell>
          <cell r="D396">
            <v>0.5</v>
          </cell>
        </row>
        <row r="397">
          <cell r="A397" t="str">
            <v>RIO BRAVO INVESTIMENTOS DTVM - PRUDENCIAL</v>
          </cell>
          <cell r="D397">
            <v>0.5</v>
          </cell>
        </row>
        <row r="398">
          <cell r="A398" t="str">
            <v>SOLFÁCIL SCFI - PRUDENCIAL</v>
          </cell>
          <cell r="D398">
            <v>0.5</v>
          </cell>
        </row>
        <row r="399">
          <cell r="A399" t="str">
            <v>WEALTH HIGH GOVERNANCE DTVM - PRUDENCIAL</v>
          </cell>
          <cell r="D399">
            <v>0.5</v>
          </cell>
        </row>
        <row r="400">
          <cell r="A400" t="str">
            <v>CONECTA CC LTDA - PRUDENCIAL</v>
          </cell>
          <cell r="D400">
            <v>0.5</v>
          </cell>
        </row>
        <row r="401">
          <cell r="A401" t="str">
            <v>INTERCAM CC LTDA - PRUDENCIAL</v>
          </cell>
          <cell r="D401">
            <v>0.5</v>
          </cell>
        </row>
        <row r="402">
          <cell r="A402" t="str">
            <v>QUADRA SCD - PRUDENCIAL</v>
          </cell>
          <cell r="D402">
            <v>0.5</v>
          </cell>
        </row>
        <row r="403">
          <cell r="A403" t="str">
            <v>RJI CTVM - PRUDENCIAL</v>
          </cell>
          <cell r="D403">
            <v>0.75</v>
          </cell>
        </row>
        <row r="404">
          <cell r="A404" t="str">
            <v>SUDACRED SCD - PRUDENCIAL</v>
          </cell>
          <cell r="D404">
            <v>0.5</v>
          </cell>
        </row>
        <row r="405">
          <cell r="A405" t="str">
            <v>FIDD DTVM - PRUDENCIAL</v>
          </cell>
          <cell r="D405">
            <v>0.25</v>
          </cell>
        </row>
        <row r="406">
          <cell r="A406" t="str">
            <v>MONETARIE SCD - PRUDENCIAL</v>
          </cell>
          <cell r="D406">
            <v>0.5</v>
          </cell>
        </row>
        <row r="407">
          <cell r="A407" t="str">
            <v>ATF SCD - PRUDENCIAL</v>
          </cell>
          <cell r="D407">
            <v>0.5</v>
          </cell>
        </row>
        <row r="408">
          <cell r="A408" t="str">
            <v>BEETELLERPAY IP - PRUDENCIAL</v>
          </cell>
          <cell r="D408">
            <v>0.5</v>
          </cell>
        </row>
        <row r="409">
          <cell r="A409" t="str">
            <v>EWALLY IP - PRUDENCIAL</v>
          </cell>
          <cell r="D409">
            <v>0.5</v>
          </cell>
        </row>
        <row r="410">
          <cell r="A410" t="str">
            <v>ACTIVTRADES CCTVM - PRUDENCIAL</v>
          </cell>
          <cell r="D410">
            <v>0.25</v>
          </cell>
        </row>
        <row r="411">
          <cell r="A411" t="str">
            <v>UZZIPAY IP - PRUDENCIAL</v>
          </cell>
          <cell r="D411">
            <v>0.5</v>
          </cell>
        </row>
        <row r="412">
          <cell r="A412" t="str">
            <v>LABOR CC - PRUDENCIAL</v>
          </cell>
          <cell r="D412">
            <v>0.75</v>
          </cell>
        </row>
        <row r="413">
          <cell r="A413" t="str">
            <v>G5 SCD - PRUDENCIAL</v>
          </cell>
          <cell r="D413">
            <v>0.5</v>
          </cell>
        </row>
        <row r="414">
          <cell r="A414" t="str">
            <v>ONCRED SCD - PRUDENCIAL</v>
          </cell>
          <cell r="D414">
            <v>0.75</v>
          </cell>
        </row>
        <row r="415">
          <cell r="A415" t="str">
            <v>GET MONEY CC - PRUDENCIAL</v>
          </cell>
          <cell r="D415">
            <v>0.75</v>
          </cell>
        </row>
        <row r="416">
          <cell r="A416" t="str">
            <v>FOURTRADE COR. DE CAMBIO LTDA - PRUDENCIAL</v>
          </cell>
          <cell r="D416">
            <v>0.75</v>
          </cell>
        </row>
        <row r="417">
          <cell r="A417" t="str">
            <v>DILLON S/A DTVM - PRUDENCIAL</v>
          </cell>
          <cell r="D417">
            <v>0.5</v>
          </cell>
        </row>
        <row r="418">
          <cell r="A418" t="str">
            <v>PAY BROKERS IP - PRUDENCIAL</v>
          </cell>
          <cell r="D418">
            <v>0.75</v>
          </cell>
        </row>
        <row r="419">
          <cell r="A419" t="str">
            <v>NIKOS DTVM - PRUDENCIAL</v>
          </cell>
          <cell r="D419">
            <v>0.5</v>
          </cell>
        </row>
        <row r="420">
          <cell r="A420" t="str">
            <v>ZM SCD PRUDENCIAL</v>
          </cell>
          <cell r="D420">
            <v>0.75</v>
          </cell>
        </row>
        <row r="421">
          <cell r="A421" t="str">
            <v>CC AÇORIANA LTDA. - PRUDENCIAL</v>
          </cell>
          <cell r="D421">
            <v>0.25</v>
          </cell>
        </row>
        <row r="422">
          <cell r="A422" t="str">
            <v>A27 IP - PRUDENCIAL</v>
          </cell>
          <cell r="D422">
            <v>0.5</v>
          </cell>
        </row>
        <row r="423">
          <cell r="A423" t="str">
            <v>LEV DTVM - PRUDENCIAL</v>
          </cell>
          <cell r="D423">
            <v>0.75</v>
          </cell>
        </row>
        <row r="424">
          <cell r="A424" t="str">
            <v>GALLERIA SCD - PRUDENCIAL</v>
          </cell>
          <cell r="D424">
            <v>0.5</v>
          </cell>
        </row>
        <row r="425">
          <cell r="A425" t="str">
            <v>BARU SCD - PRUDENCIAL</v>
          </cell>
          <cell r="D425">
            <v>0.5</v>
          </cell>
        </row>
        <row r="426">
          <cell r="A426" t="str">
            <v>MAGNUM SCD - PRUDENCIAL</v>
          </cell>
          <cell r="D426">
            <v>0.25</v>
          </cell>
        </row>
        <row r="427">
          <cell r="A427" t="str">
            <v>LEVYCAM CCV LTDA - PRUDENCIAL</v>
          </cell>
          <cell r="D427">
            <v>0.75</v>
          </cell>
        </row>
        <row r="428">
          <cell r="A428" t="str">
            <v>DAUX SCD - PRUDENCIAL</v>
          </cell>
          <cell r="D428">
            <v>0.5</v>
          </cell>
        </row>
        <row r="429">
          <cell r="A429" t="str">
            <v>SOCIALCRED S/A SCMEPP - PRUDENCIAL</v>
          </cell>
          <cell r="D429">
            <v>0.5</v>
          </cell>
        </row>
        <row r="430">
          <cell r="A430" t="str">
            <v>REMITLY CC LTDA. - PRUDENCIAL</v>
          </cell>
          <cell r="D430">
            <v>0.5</v>
          </cell>
        </row>
        <row r="431">
          <cell r="A431" t="str">
            <v>HSCM SCMEPP LTDA. - PRUDENCIAL</v>
          </cell>
          <cell r="D431">
            <v>0.5</v>
          </cell>
        </row>
        <row r="432">
          <cell r="A432" t="str">
            <v>CREDIFIT SCD - PRUDENCIAL</v>
          </cell>
          <cell r="D432">
            <v>0.5</v>
          </cell>
        </row>
        <row r="433">
          <cell r="A433" t="str">
            <v>PAGPRIME IP - PRUDENCIAL</v>
          </cell>
          <cell r="D433">
            <v>0.25</v>
          </cell>
        </row>
        <row r="434">
          <cell r="A434" t="str">
            <v>BRX CC LTDA. - PRUDENCIAL</v>
          </cell>
          <cell r="D434">
            <v>0.5</v>
          </cell>
        </row>
        <row r="435">
          <cell r="A435" t="str">
            <v>MULTICRED SCD - PRUDENCIAL</v>
          </cell>
          <cell r="D435">
            <v>0.5</v>
          </cell>
        </row>
        <row r="436">
          <cell r="A436" t="str">
            <v>WOOVI IP - PRUDENCIAL</v>
          </cell>
          <cell r="D436">
            <v>0.25</v>
          </cell>
        </row>
        <row r="437">
          <cell r="A437" t="str">
            <v>SCB CRÉDITO SCMEPP - PRUDENCIAL</v>
          </cell>
          <cell r="D437">
            <v>0.5</v>
          </cell>
        </row>
        <row r="438">
          <cell r="A438" t="str">
            <v>DUFRIO CFI - PRUDENCIAL</v>
          </cell>
          <cell r="D438">
            <v>0.5</v>
          </cell>
        </row>
        <row r="439">
          <cell r="A439" t="str">
            <v>GERU SCD - PRUDENCIAL</v>
          </cell>
          <cell r="D439">
            <v>0.5</v>
          </cell>
        </row>
        <row r="440">
          <cell r="A440" t="str">
            <v>RAPIDIUM SCMEPP - PRUDENCIAL</v>
          </cell>
          <cell r="D440">
            <v>0.5</v>
          </cell>
        </row>
        <row r="441">
          <cell r="A441" t="str">
            <v>UP.P SEP - PRUDENCIAL</v>
          </cell>
          <cell r="D441">
            <v>0.5</v>
          </cell>
        </row>
        <row r="442">
          <cell r="A442" t="str">
            <v>CONPAY IP - PRUDENCIAL</v>
          </cell>
          <cell r="D442">
            <v>0.25</v>
          </cell>
        </row>
        <row r="443">
          <cell r="A443" t="str">
            <v>HR DIGITAL SCD - PRUDENCIAL</v>
          </cell>
          <cell r="D443">
            <v>0.25</v>
          </cell>
        </row>
        <row r="444">
          <cell r="A444" t="str">
            <v>TURCAMBIO CC LTDA. - PRUDENCIAL</v>
          </cell>
          <cell r="D444">
            <v>0.75</v>
          </cell>
        </row>
        <row r="445">
          <cell r="A445" t="str">
            <v>PENTAGONO S/A DTVM - PRUDENCIAL</v>
          </cell>
          <cell r="D445">
            <v>0.5</v>
          </cell>
        </row>
        <row r="446">
          <cell r="A446" t="str">
            <v>MT IP - PRUDENCIAL</v>
          </cell>
          <cell r="D446">
            <v>0.25</v>
          </cell>
        </row>
        <row r="447">
          <cell r="A447" t="str">
            <v>APROMS NET IP - PRUDENCIAL</v>
          </cell>
          <cell r="D447">
            <v>0.5</v>
          </cell>
        </row>
        <row r="448">
          <cell r="A448" t="str">
            <v>SAYGO CC - PRUDENCIAL</v>
          </cell>
          <cell r="D448">
            <v>0.75</v>
          </cell>
        </row>
        <row r="449">
          <cell r="A449" t="str">
            <v>MONOPÓLIO CC - PRUDENCIAL</v>
          </cell>
          <cell r="D449">
            <v>0.5</v>
          </cell>
        </row>
        <row r="450">
          <cell r="A450" t="str">
            <v>MAG IP - PRUDENCIAL</v>
          </cell>
          <cell r="D450">
            <v>0.25</v>
          </cell>
        </row>
        <row r="451">
          <cell r="A451" t="str">
            <v>INTEGRAÇÃO DE CRÉDITO E COBRANÇA SCD - PRUDENCIAL</v>
          </cell>
          <cell r="D451">
            <v>0.25</v>
          </cell>
        </row>
        <row r="452">
          <cell r="A452" t="str">
            <v>LIMINE TRUST DTVM - PRUDENCIAL</v>
          </cell>
          <cell r="D452">
            <v>0.25</v>
          </cell>
        </row>
        <row r="453">
          <cell r="A453" t="str">
            <v>DGBK CREDIT SCD - PRUDENCIAL</v>
          </cell>
          <cell r="D453">
            <v>0.5</v>
          </cell>
        </row>
        <row r="454">
          <cell r="A454" t="str">
            <v>FONTECRED SCD - PRUDENCIAL</v>
          </cell>
          <cell r="D454">
            <v>0.75</v>
          </cell>
        </row>
        <row r="455">
          <cell r="A455" t="str">
            <v>TROCKA CC - PRUDENCIAL</v>
          </cell>
          <cell r="D455">
            <v>0.5</v>
          </cell>
        </row>
        <row r="456">
          <cell r="A456" t="str">
            <v>FINVEST DTVM - PRUDENCIAL</v>
          </cell>
          <cell r="D456">
            <v>0.25</v>
          </cell>
        </row>
        <row r="457">
          <cell r="A457" t="str">
            <v>PAY IP - PRUDENCIAL</v>
          </cell>
          <cell r="D457">
            <v>0.5</v>
          </cell>
        </row>
        <row r="458">
          <cell r="A458" t="str">
            <v>EXECUTIVE CC LTDA. - PRUDENCIAL</v>
          </cell>
          <cell r="D458">
            <v>0.75</v>
          </cell>
        </row>
        <row r="459">
          <cell r="A459" t="str">
            <v>VUON SCD - PRUDENCIAL</v>
          </cell>
          <cell r="D459">
            <v>0.25</v>
          </cell>
        </row>
        <row r="460">
          <cell r="A460" t="str">
            <v>ARC CORRETORA CAMBIO S.A. - PRUDENCIAL</v>
          </cell>
          <cell r="D460">
            <v>0.5</v>
          </cell>
        </row>
        <row r="461">
          <cell r="A461" t="str">
            <v>INTRA INVESTIMENTOS DTVM - PRUDENCIAL</v>
          </cell>
          <cell r="D461">
            <v>0.5</v>
          </cell>
        </row>
        <row r="462">
          <cell r="A462" t="str">
            <v>EFX CC LTDA. - PRUDENCIAL</v>
          </cell>
          <cell r="D462">
            <v>0.5</v>
          </cell>
        </row>
        <row r="463">
          <cell r="A463" t="str">
            <v>BR-CAPITAL DTVM S.A. - PRUDENCIAL</v>
          </cell>
          <cell r="D463">
            <v>0.25</v>
          </cell>
        </row>
        <row r="464">
          <cell r="A464" t="str">
            <v>INICIADOR IP - PRUDENCIAL</v>
          </cell>
          <cell r="D464">
            <v>0.25</v>
          </cell>
        </row>
        <row r="465">
          <cell r="A465" t="str">
            <v>MONERY IP - PRUDENCIAL</v>
          </cell>
          <cell r="D465">
            <v>0.5</v>
          </cell>
        </row>
        <row r="466">
          <cell r="A466" t="str">
            <v>N26 SCD - PRUDENCIAL</v>
          </cell>
          <cell r="D466">
            <v>0.25</v>
          </cell>
        </row>
        <row r="467">
          <cell r="A467" t="str">
            <v>IUPI IP - PRUDENCIAL</v>
          </cell>
          <cell r="D467">
            <v>0.25</v>
          </cell>
        </row>
        <row r="468">
          <cell r="A468" t="str">
            <v>DAPPER SCD - PRUDENCIAL</v>
          </cell>
          <cell r="D468">
            <v>0.5</v>
          </cell>
        </row>
        <row r="469">
          <cell r="A469" t="str">
            <v>PERCAPITAL SCD - PRUDENCIAL</v>
          </cell>
          <cell r="D469">
            <v>0.75</v>
          </cell>
        </row>
        <row r="470">
          <cell r="A470" t="str">
            <v>MOTTU SCD - PRUDENCIAL</v>
          </cell>
          <cell r="D470">
            <v>0.5</v>
          </cell>
        </row>
        <row r="471">
          <cell r="A471" t="str">
            <v>VERT DTVM - PRUDENCIAL</v>
          </cell>
          <cell r="D471">
            <v>0.5</v>
          </cell>
        </row>
        <row r="472">
          <cell r="A472" t="str">
            <v>BANSUR JM SCD - PRUDENCIAL</v>
          </cell>
          <cell r="D472">
            <v>0.5</v>
          </cell>
        </row>
        <row r="473">
          <cell r="A473" t="str">
            <v>ATICCA SCD PRUDENCIAL</v>
          </cell>
          <cell r="D473">
            <v>0.5</v>
          </cell>
        </row>
        <row r="474">
          <cell r="A474" t="str">
            <v>DOURADA CORRETORA - PRUDENCIAL</v>
          </cell>
          <cell r="D474">
            <v>0.75</v>
          </cell>
        </row>
        <row r="475">
          <cell r="A475" t="str">
            <v>BAMAQ CAPITAL SCD - PRUDENCIAL</v>
          </cell>
          <cell r="D475">
            <v>0.25</v>
          </cell>
        </row>
        <row r="476">
          <cell r="A476" t="str">
            <v>MUEVY IP - PRUDENCIAL</v>
          </cell>
          <cell r="D476">
            <v>0.25</v>
          </cell>
        </row>
        <row r="477">
          <cell r="A477" t="str">
            <v>MH SCD - PRUDENCIAL</v>
          </cell>
          <cell r="D477">
            <v>0.25</v>
          </cell>
        </row>
        <row r="478">
          <cell r="A478" t="str">
            <v>CAROL DTVM LTDA. - PRUDENCIAL</v>
          </cell>
          <cell r="D478">
            <v>0.25</v>
          </cell>
        </row>
        <row r="479">
          <cell r="A479" t="str">
            <v>ZIPDIN SCD - PRUDENCIAL</v>
          </cell>
          <cell r="D479">
            <v>0.75</v>
          </cell>
        </row>
        <row r="480">
          <cell r="A480" t="str">
            <v>NUMBRS SCD - PRUDENCIAL</v>
          </cell>
          <cell r="D480">
            <v>0.25</v>
          </cell>
        </row>
        <row r="481">
          <cell r="A481" t="str">
            <v>CV INVESTIMENTOS DTVM - PRUDENCIAL</v>
          </cell>
          <cell r="D481">
            <v>0.25</v>
          </cell>
        </row>
        <row r="482">
          <cell r="A482" t="str">
            <v>DELTA GLOBAL SCD - PRUDENCIAL</v>
          </cell>
          <cell r="D482">
            <v>0.25</v>
          </cell>
        </row>
        <row r="483">
          <cell r="A483" t="str">
            <v>BCP SECURITIES DTVM - PRUDENCIAL</v>
          </cell>
          <cell r="D483">
            <v>0.5</v>
          </cell>
        </row>
        <row r="484">
          <cell r="A484" t="str">
            <v>DASCAM CC LTDA - PRUDENCIAL</v>
          </cell>
          <cell r="D484">
            <v>0.25</v>
          </cell>
        </row>
        <row r="485">
          <cell r="A485" t="str">
            <v>PALMA SCD - PRUDENCIAL</v>
          </cell>
          <cell r="D485">
            <v>0.25</v>
          </cell>
        </row>
        <row r="486">
          <cell r="A486" t="str">
            <v>INCO SEP - PRUDENCIAL</v>
          </cell>
          <cell r="D486">
            <v>0.25</v>
          </cell>
        </row>
        <row r="487">
          <cell r="A487" t="str">
            <v>FATURACRED SCD - PRUDENCIAL</v>
          </cell>
          <cell r="D487">
            <v>0.5</v>
          </cell>
        </row>
        <row r="488">
          <cell r="A488" t="str">
            <v>PEAK SEP - PRUDENCIAL</v>
          </cell>
          <cell r="D488">
            <v>0.25</v>
          </cell>
        </row>
        <row r="489">
          <cell r="A489" t="str">
            <v>DATANOMIK BRASIL IP - PRUDENCIAL</v>
          </cell>
          <cell r="D489">
            <v>0.25</v>
          </cell>
        </row>
        <row r="490">
          <cell r="A490" t="str">
            <v>UNICRED DTVM - PRUDENCIAL</v>
          </cell>
          <cell r="D490">
            <v>0.5</v>
          </cell>
        </row>
        <row r="491">
          <cell r="A491" t="str">
            <v>P R DO BRASIL IP - PRUDENCIAL</v>
          </cell>
          <cell r="D491">
            <v>0.25</v>
          </cell>
        </row>
        <row r="492">
          <cell r="A492" t="str">
            <v>GLOBAL SCM LTDA - PRUDENCIAL</v>
          </cell>
          <cell r="D492">
            <v>0.5</v>
          </cell>
        </row>
        <row r="493">
          <cell r="A493" t="str">
            <v>VBS SCD - PRUDENCIAL</v>
          </cell>
          <cell r="D493">
            <v>0.25</v>
          </cell>
        </row>
        <row r="494">
          <cell r="A494" t="str">
            <v>BELVO IP - PRUDENCIAL</v>
          </cell>
          <cell r="D494">
            <v>0.25</v>
          </cell>
        </row>
        <row r="495">
          <cell r="A495" t="str">
            <v>SOCRED S.A. SCM - PRUDENCIAL</v>
          </cell>
          <cell r="D495">
            <v>0.5</v>
          </cell>
        </row>
        <row r="496">
          <cell r="A496" t="str">
            <v>SQUID SCD - PRUDENCIAL</v>
          </cell>
          <cell r="D496">
            <v>0.25</v>
          </cell>
        </row>
        <row r="497">
          <cell r="A497" t="str">
            <v>MÉRITO DTVM - PRUDENCIAL</v>
          </cell>
          <cell r="D497">
            <v>0.25</v>
          </cell>
        </row>
        <row r="498">
          <cell r="A498" t="str">
            <v>GDC PART SERV FIDUC DTVM LTDA - PRUDENCIAL</v>
          </cell>
          <cell r="D498">
            <v>0.25</v>
          </cell>
        </row>
        <row r="499">
          <cell r="A499" t="str">
            <v>GLOBAL INV SERVICES DTVM - PRUDENCIAL</v>
          </cell>
          <cell r="D499">
            <v>0.25</v>
          </cell>
        </row>
        <row r="500">
          <cell r="A500" t="str">
            <v>IDEA MAKER IP - PRUDENCIAL</v>
          </cell>
          <cell r="D500">
            <v>0.25</v>
          </cell>
        </row>
        <row r="501">
          <cell r="A501" t="str">
            <v>ALL IN CRED SCD - PRUDENCIAL</v>
          </cell>
          <cell r="D501">
            <v>0.25</v>
          </cell>
        </row>
        <row r="502">
          <cell r="A502" t="str">
            <v>CREDPAR SCD - PRUDENCIAL</v>
          </cell>
          <cell r="D502">
            <v>0.5</v>
          </cell>
        </row>
        <row r="503">
          <cell r="A503" t="str">
            <v>BRCONDOS SCD - PRUDENCIAL</v>
          </cell>
          <cell r="D503">
            <v>0.25</v>
          </cell>
        </row>
        <row r="504">
          <cell r="A504" t="str">
            <v>BFC SCD - PRUDENCIAL</v>
          </cell>
          <cell r="D504">
            <v>0.25</v>
          </cell>
        </row>
        <row r="505">
          <cell r="A505" t="str">
            <v>SETHI SCD - PRUDENCIAL</v>
          </cell>
          <cell r="D505">
            <v>0.25</v>
          </cell>
        </row>
        <row r="506">
          <cell r="A506" t="str">
            <v>LIQUIDO IP - PRUDENCIAL</v>
          </cell>
          <cell r="D506">
            <v>0.25</v>
          </cell>
        </row>
        <row r="507">
          <cell r="A507" t="str">
            <v>MOMENTO DTVM LTDA. - PRUDENCIAL</v>
          </cell>
          <cell r="D507">
            <v>0.25</v>
          </cell>
        </row>
        <row r="508">
          <cell r="A508" t="str">
            <v>HBI SCD - PRUDENCIAL</v>
          </cell>
          <cell r="D508">
            <v>0.5</v>
          </cell>
        </row>
        <row r="509">
          <cell r="A509" t="str">
            <v>FRIDAY IP - PRUDENCIAL</v>
          </cell>
          <cell r="D509">
            <v>0.25</v>
          </cell>
        </row>
        <row r="510">
          <cell r="A510" t="str">
            <v>E.SIGA SCD - PRUDENCIAL</v>
          </cell>
          <cell r="D510">
            <v>0.25</v>
          </cell>
        </row>
        <row r="511">
          <cell r="A511" t="str">
            <v>CAMBIONET CC LTDA - PRUDENCIAL</v>
          </cell>
          <cell r="D511">
            <v>0.5</v>
          </cell>
        </row>
        <row r="512">
          <cell r="A512" t="str">
            <v>FREEX CC - PRUDENCIAL</v>
          </cell>
          <cell r="D512">
            <v>0.5</v>
          </cell>
        </row>
        <row r="513">
          <cell r="A513" t="str">
            <v>NAGRO SCD - PRUDENCIAL</v>
          </cell>
          <cell r="D513">
            <v>0.25</v>
          </cell>
        </row>
        <row r="514">
          <cell r="A514" t="str">
            <v>A55 SCD - PRUDENCIAL</v>
          </cell>
          <cell r="D514">
            <v>0.25</v>
          </cell>
        </row>
        <row r="515">
          <cell r="A515" t="str">
            <v>GOOD CC - PRUDENCIAL</v>
          </cell>
          <cell r="D515">
            <v>0.5</v>
          </cell>
        </row>
        <row r="516">
          <cell r="A516" t="str">
            <v>CASA CREDITO S.A. SCM - PRUDENCIAL</v>
          </cell>
          <cell r="D516">
            <v>0.25</v>
          </cell>
        </row>
        <row r="517">
          <cell r="A517" t="str">
            <v>CATÁLISE DTVM PRUDENCIAL</v>
          </cell>
          <cell r="D517">
            <v>0.25</v>
          </cell>
        </row>
        <row r="518">
          <cell r="A518" t="str">
            <v>EUROINVEST S/A CCTVM - PRUDENCIAL</v>
          </cell>
          <cell r="D518">
            <v>0.25</v>
          </cell>
        </row>
        <row r="519">
          <cell r="A519" t="str">
            <v>NEXOOS SEP - PRUDENCIAL</v>
          </cell>
          <cell r="D519">
            <v>0.5</v>
          </cell>
        </row>
        <row r="520">
          <cell r="A520" t="str">
            <v>NUMATUR CC LTDA - PRUDENCIAL</v>
          </cell>
          <cell r="D520">
            <v>0.5</v>
          </cell>
        </row>
        <row r="521">
          <cell r="A521" t="str">
            <v>CREDBRASIL - SCMEPP LTDA - PRUDENCIAL</v>
          </cell>
          <cell r="D521">
            <v>0.25</v>
          </cell>
        </row>
        <row r="522">
          <cell r="A522" t="str">
            <v>BRCARD SCD - PRUDENCIAL</v>
          </cell>
          <cell r="D522">
            <v>0.5</v>
          </cell>
        </row>
        <row r="523">
          <cell r="A523" t="str">
            <v>HR SCMEPP LTDA. - PRUDENCIAL</v>
          </cell>
          <cell r="D523">
            <v>0.25</v>
          </cell>
        </row>
        <row r="524">
          <cell r="A524" t="str">
            <v>FINLEV SCD PRUDENCIAL</v>
          </cell>
          <cell r="D524">
            <v>0.5</v>
          </cell>
        </row>
        <row r="525">
          <cell r="A525" t="str">
            <v>PACIFIC INVEST DTVM LTDA - PRUDENCIAL</v>
          </cell>
          <cell r="D525">
            <v>0.5</v>
          </cell>
        </row>
        <row r="526">
          <cell r="A526" t="str">
            <v>GIRO SCD - PRUDENCIAL</v>
          </cell>
          <cell r="D526">
            <v>0.5</v>
          </cell>
        </row>
        <row r="527">
          <cell r="A527" t="str">
            <v>AVS CORRETORA DE CÂMBIO LTDA - PRUDENCIAL</v>
          </cell>
          <cell r="D527">
            <v>0.5</v>
          </cell>
        </row>
        <row r="528">
          <cell r="A528" t="str">
            <v>BEZZ SCD - PRUDENCIAL</v>
          </cell>
          <cell r="D528">
            <v>0.25</v>
          </cell>
        </row>
        <row r="529">
          <cell r="A529" t="str">
            <v>FINANCRED SCMEPP LTDA. - PRUDENCIAL</v>
          </cell>
          <cell r="D529">
            <v>0.5</v>
          </cell>
        </row>
        <row r="530">
          <cell r="A530" t="str">
            <v>CUMBUCA IP - PRUDENCIAL</v>
          </cell>
          <cell r="D530">
            <v>0.25</v>
          </cell>
        </row>
        <row r="531">
          <cell r="A531" t="str">
            <v>TRANSFERO IP - PRUDENCIAL</v>
          </cell>
          <cell r="D531">
            <v>0.25</v>
          </cell>
        </row>
        <row r="532">
          <cell r="A532" t="str">
            <v>VNK SCMEPP - PRUDENCIAL</v>
          </cell>
          <cell r="D532">
            <v>0.5</v>
          </cell>
        </row>
        <row r="533">
          <cell r="A533" t="str">
            <v>MARMARIS CC - PRUDENCIAL</v>
          </cell>
          <cell r="D533">
            <v>0.5</v>
          </cell>
        </row>
        <row r="534">
          <cell r="A534" t="str">
            <v>FARMTECH SCD - PRUDENCIAL</v>
          </cell>
          <cell r="D534">
            <v>0.25</v>
          </cell>
        </row>
        <row r="535">
          <cell r="A535" t="str">
            <v>CORPORE SCD - PRUDENCIAL</v>
          </cell>
          <cell r="D535">
            <v>0.25</v>
          </cell>
        </row>
        <row r="536">
          <cell r="A536" t="str">
            <v>SADOC CC - PRUDENCIAL</v>
          </cell>
          <cell r="D536">
            <v>0.5</v>
          </cell>
        </row>
        <row r="537">
          <cell r="A537" t="str">
            <v>EMCASH SERVICOS FINANCEIROS SEP - PRUDENCIAL</v>
          </cell>
          <cell r="D537">
            <v>0.25</v>
          </cell>
        </row>
        <row r="538">
          <cell r="A538" t="str">
            <v>VIPS CC LTDA. - PRUDENCIAL</v>
          </cell>
          <cell r="D538">
            <v>0.5</v>
          </cell>
        </row>
        <row r="539">
          <cell r="A539" t="str">
            <v>QUEROCRED SCD - PRUDENCIAL</v>
          </cell>
          <cell r="D539">
            <v>0.5</v>
          </cell>
        </row>
        <row r="540">
          <cell r="A540" t="str">
            <v>ATLANTA SCM LTDA - PRUDENCIAL</v>
          </cell>
          <cell r="D540">
            <v>0.25</v>
          </cell>
        </row>
        <row r="541">
          <cell r="A541" t="str">
            <v>INSTITUIÇÃO DE PAGAMENTOS MAPS - PRUDENCIAL</v>
          </cell>
          <cell r="D541">
            <v>0.25</v>
          </cell>
        </row>
        <row r="542">
          <cell r="A542" t="str">
            <v>SINGRATUR CC LTDA. - PRUDENCIAL</v>
          </cell>
          <cell r="D542">
            <v>0.5</v>
          </cell>
        </row>
        <row r="543">
          <cell r="A543" t="str">
            <v>GREEN ALTERNATIVE INVESTMENTS DTVM - PRUDENCIAL</v>
          </cell>
          <cell r="D543">
            <v>0.25</v>
          </cell>
        </row>
        <row r="544">
          <cell r="A544" t="str">
            <v>EFEX IP - PRUDENCIAL</v>
          </cell>
          <cell r="D544">
            <v>0.25</v>
          </cell>
        </row>
        <row r="545">
          <cell r="A545" t="str">
            <v>BIZCAPITAL SCD - PRUDENCIAL</v>
          </cell>
          <cell r="D545">
            <v>0.25</v>
          </cell>
        </row>
        <row r="546">
          <cell r="A546" t="str">
            <v>LAMARA SCD - PRUDENCIAL</v>
          </cell>
          <cell r="D546">
            <v>0.5</v>
          </cell>
        </row>
        <row r="547">
          <cell r="A547" t="str">
            <v>FIDEM SCD - PRUDENCIAL</v>
          </cell>
          <cell r="D547">
            <v>0.25</v>
          </cell>
        </row>
        <row r="548">
          <cell r="A548" t="str">
            <v>PROVU SCD - PRUDENCIAL</v>
          </cell>
          <cell r="D548">
            <v>0.25</v>
          </cell>
        </row>
        <row r="549">
          <cell r="A549" t="str">
            <v>CREDILON SCM REG. LONDRINA LTD - PRUDENCIAL</v>
          </cell>
          <cell r="D549">
            <v>0.5</v>
          </cell>
        </row>
        <row r="550">
          <cell r="A550" t="str">
            <v>DEBONI DTVM LTDA - PRUDENCIAL</v>
          </cell>
          <cell r="D550">
            <v>0.5</v>
          </cell>
        </row>
        <row r="551">
          <cell r="A551" t="str">
            <v>EASY MONEY SCD - PRUDENCIAL</v>
          </cell>
          <cell r="D551">
            <v>0.25</v>
          </cell>
        </row>
        <row r="552">
          <cell r="A552" t="str">
            <v>OMIE IP - PRUDENCIAL</v>
          </cell>
          <cell r="D552">
            <v>0.25</v>
          </cell>
        </row>
        <row r="553">
          <cell r="A553" t="str">
            <v>LUMINA CC - PRUDENCIAL</v>
          </cell>
          <cell r="D553">
            <v>0.5</v>
          </cell>
        </row>
        <row r="554">
          <cell r="A554" t="str">
            <v>NIXFIN SCD - PRUDENCIAL</v>
          </cell>
          <cell r="D554">
            <v>0.25</v>
          </cell>
        </row>
        <row r="555">
          <cell r="A555" t="str">
            <v>LASTRO RDV DTVM LTDA - PRUDENCIAL</v>
          </cell>
          <cell r="D555">
            <v>0.5</v>
          </cell>
        </row>
        <row r="556">
          <cell r="A556" t="str">
            <v>FINAZO SCD - PRUDENCIAL</v>
          </cell>
          <cell r="D556">
            <v>0.25</v>
          </cell>
        </row>
        <row r="557">
          <cell r="A557" t="str">
            <v>OPPENS SEP - PRUDENCIAL</v>
          </cell>
          <cell r="D557">
            <v>0.25</v>
          </cell>
        </row>
        <row r="558">
          <cell r="A558" t="str">
            <v>FIDO SEP - PRUDENCIAL</v>
          </cell>
          <cell r="D558">
            <v>0.25</v>
          </cell>
        </row>
        <row r="559">
          <cell r="A559" t="str">
            <v>CORREPARTI CC LTDA - PRUDENCIAL</v>
          </cell>
          <cell r="D559">
            <v>0.5</v>
          </cell>
        </row>
        <row r="560">
          <cell r="A560" t="str">
            <v>ÓPERA SCD - PRUDENCIAL</v>
          </cell>
          <cell r="D560">
            <v>0.25</v>
          </cell>
        </row>
        <row r="561">
          <cell r="A561" t="str">
            <v>KIKAI SCD PRUDENCIAL</v>
          </cell>
          <cell r="D561">
            <v>0.25</v>
          </cell>
        </row>
        <row r="562">
          <cell r="A562" t="str">
            <v>FATORI SCMEPP - PRUDENCIAL</v>
          </cell>
          <cell r="D562">
            <v>0.25</v>
          </cell>
        </row>
        <row r="563">
          <cell r="A563" t="str">
            <v>DELEND IP - PRUDENCIAL</v>
          </cell>
          <cell r="D563">
            <v>0.25</v>
          </cell>
        </row>
        <row r="564">
          <cell r="A564" t="str">
            <v>PRONANCE SCC - PRUDENCIAL</v>
          </cell>
          <cell r="D564">
            <v>0.5</v>
          </cell>
        </row>
        <row r="565">
          <cell r="A565" t="str">
            <v>KLAVI IP - PRUDENCIAL</v>
          </cell>
          <cell r="D565">
            <v>0.25</v>
          </cell>
        </row>
        <row r="566">
          <cell r="A566" t="str">
            <v>CF GROUP SEP - PRUDENCIAL</v>
          </cell>
          <cell r="D566">
            <v>0.25</v>
          </cell>
        </row>
        <row r="567">
          <cell r="A567" t="str">
            <v>ONNIX CC LTDA. - PRUDENCIAL</v>
          </cell>
          <cell r="D567">
            <v>0.5</v>
          </cell>
        </row>
        <row r="568">
          <cell r="A568" t="str">
            <v>NGO ASSOCIADOS CC LTDA. - PRUDENCIAL</v>
          </cell>
          <cell r="D568">
            <v>0.25</v>
          </cell>
        </row>
        <row r="569">
          <cell r="A569" t="str">
            <v>CONSEGTUR CC - PRUDENCIAL</v>
          </cell>
          <cell r="D569">
            <v>0.5</v>
          </cell>
        </row>
        <row r="570">
          <cell r="A570" t="str">
            <v>CRYSTAL BMC IP - PRUDENCIAL</v>
          </cell>
          <cell r="D570">
            <v>0.25</v>
          </cell>
        </row>
        <row r="571">
          <cell r="A571" t="str">
            <v>FIDUCIAL DTVM LTDA - PRUDENCIAL</v>
          </cell>
          <cell r="D571">
            <v>0.25</v>
          </cell>
        </row>
        <row r="572">
          <cell r="A572" t="str">
            <v>QORE DTVM LTDA - PRUDENCIAL</v>
          </cell>
          <cell r="D572">
            <v>0.25</v>
          </cell>
        </row>
        <row r="573">
          <cell r="A573" t="str">
            <v>ATUAL CC - PRUDENCIAL</v>
          </cell>
          <cell r="D573">
            <v>0.5</v>
          </cell>
        </row>
        <row r="574">
          <cell r="A574" t="str">
            <v>EBADIVAL - E BAGGIO DTVM LTDA - PRUDENCIAL</v>
          </cell>
          <cell r="D574">
            <v>0.25</v>
          </cell>
        </row>
        <row r="575">
          <cell r="A575" t="str">
            <v>AVIPAM CC LTDA. - PRUDENCIAL</v>
          </cell>
          <cell r="D575">
            <v>0.25</v>
          </cell>
        </row>
        <row r="576">
          <cell r="A576" t="str">
            <v>ICARO CC LTDA - PRUDENCIAL</v>
          </cell>
          <cell r="D576">
            <v>0.25</v>
          </cell>
        </row>
        <row r="577">
          <cell r="A577" t="str">
            <v>SOL CC - PRUDENCIAL</v>
          </cell>
          <cell r="D577">
            <v>0.25</v>
          </cell>
        </row>
      </sheetData>
      <sheetData sheetId="6">
        <row r="2">
          <cell r="A2" t="str">
            <v>ITAU - PRUDENCIAL</v>
          </cell>
          <cell r="D2">
            <v>0.5</v>
          </cell>
        </row>
        <row r="3">
          <cell r="A3" t="str">
            <v>BB - PRUDENCIAL</v>
          </cell>
          <cell r="D3">
            <v>0.25</v>
          </cell>
        </row>
        <row r="4">
          <cell r="A4" t="str">
            <v>CAIXA ECONÔMICA FEDERAL - PRUDENCIAL</v>
          </cell>
          <cell r="D4">
            <v>0.5</v>
          </cell>
        </row>
        <row r="5">
          <cell r="A5" t="str">
            <v>BRADESCO - PRUDENCIAL</v>
          </cell>
          <cell r="D5">
            <v>0.5</v>
          </cell>
        </row>
        <row r="6">
          <cell r="A6" t="str">
            <v>SANTANDER - PRUDENCIAL</v>
          </cell>
          <cell r="D6">
            <v>0.25</v>
          </cell>
        </row>
        <row r="7">
          <cell r="A7" t="str">
            <v>BNDES - PRUDENCIAL</v>
          </cell>
          <cell r="D7">
            <v>0.75</v>
          </cell>
        </row>
        <row r="8">
          <cell r="A8" t="str">
            <v>BTG PACTUAL - PRUDENCIAL</v>
          </cell>
          <cell r="D8">
            <v>0.5</v>
          </cell>
        </row>
        <row r="9">
          <cell r="A9" t="str">
            <v>XP - PRUDENCIAL</v>
          </cell>
          <cell r="D9">
            <v>0.25</v>
          </cell>
        </row>
        <row r="10">
          <cell r="A10" t="str">
            <v>NU PAGAMENTOS - PRUDENCIAL</v>
          </cell>
          <cell r="D10">
            <v>0.5</v>
          </cell>
        </row>
        <row r="11">
          <cell r="A11" t="str">
            <v>SAFRA - PRUDENCIAL</v>
          </cell>
          <cell r="D11">
            <v>0.5</v>
          </cell>
        </row>
        <row r="12">
          <cell r="A12" t="str">
            <v>BCO COOPERATIVO SICREDI - PRUDENCIAL</v>
          </cell>
          <cell r="D12">
            <v>0.5</v>
          </cell>
        </row>
        <row r="13">
          <cell r="A13" t="str">
            <v>BANCO SICOOB - PRUDENCIAL</v>
          </cell>
          <cell r="D13">
            <v>0.5</v>
          </cell>
        </row>
        <row r="14">
          <cell r="A14" t="str">
            <v>CITIBANK - PRUDENCIAL</v>
          </cell>
          <cell r="D14">
            <v>0.5</v>
          </cell>
        </row>
        <row r="15">
          <cell r="A15" t="str">
            <v>BANRISUL - PRUDENCIAL</v>
          </cell>
          <cell r="D15">
            <v>0.5</v>
          </cell>
        </row>
        <row r="16">
          <cell r="A16" t="str">
            <v>VOTORANTIM - PRUDENCIAL</v>
          </cell>
          <cell r="D16">
            <v>0.5</v>
          </cell>
        </row>
        <row r="17">
          <cell r="A17" t="str">
            <v>BANCO C6 - PRUDENCIAL</v>
          </cell>
          <cell r="D17">
            <v>0.25</v>
          </cell>
        </row>
        <row r="18">
          <cell r="A18" t="str">
            <v>CIELO IP - PRUDENCIAL</v>
          </cell>
          <cell r="D18">
            <v>0.25</v>
          </cell>
        </row>
        <row r="19">
          <cell r="A19" t="str">
            <v>BCO DAYCOVAL S.A - PRUDENCIAL</v>
          </cell>
          <cell r="D19">
            <v>0.25</v>
          </cell>
        </row>
        <row r="20">
          <cell r="A20" t="str">
            <v>MERCADO PAGO IP - PRUDENCIAL</v>
          </cell>
          <cell r="D20">
            <v>0.25</v>
          </cell>
        </row>
        <row r="21">
          <cell r="A21" t="str">
            <v>JP MORGAN CHASE - PRUDENCIAL</v>
          </cell>
          <cell r="D21">
            <v>0.75</v>
          </cell>
        </row>
        <row r="22">
          <cell r="A22" t="str">
            <v>INTER - PRUDENCIAL</v>
          </cell>
          <cell r="D22">
            <v>0.5</v>
          </cell>
        </row>
        <row r="23">
          <cell r="A23" t="str">
            <v>BRB - PRUDENCIAL</v>
          </cell>
          <cell r="D23">
            <v>0.25</v>
          </cell>
        </row>
        <row r="24">
          <cell r="A24" t="str">
            <v>BCO DO NORDESTE DO BRASIL S.A. - PRUDENCIAL</v>
          </cell>
          <cell r="D24">
            <v>0.25</v>
          </cell>
        </row>
        <row r="25">
          <cell r="A25" t="str">
            <v>PAGSEGURO - PRUDENCIAL</v>
          </cell>
          <cell r="D25">
            <v>0.75</v>
          </cell>
        </row>
        <row r="26">
          <cell r="A26" t="str">
            <v>ABC-BRASIL - PRUDENCIAL</v>
          </cell>
          <cell r="D26">
            <v>0.5</v>
          </cell>
        </row>
        <row r="27">
          <cell r="A27" t="str">
            <v>BCO DA AMAZONIA S.A. - PRUDENCIAL</v>
          </cell>
          <cell r="D27">
            <v>0.25</v>
          </cell>
        </row>
        <row r="28">
          <cell r="A28" t="str">
            <v>VOLKSWAGEN - PRUDENCIAL</v>
          </cell>
          <cell r="D28">
            <v>0.25</v>
          </cell>
        </row>
        <row r="29">
          <cell r="A29" t="str">
            <v>BCO RABOBANK INTL BRASIL S.A. - PRUDENCIAL</v>
          </cell>
          <cell r="D29">
            <v>0.25</v>
          </cell>
        </row>
        <row r="30">
          <cell r="A30" t="str">
            <v>STONE IP - PRUDENCIAL</v>
          </cell>
          <cell r="D30">
            <v>0.5</v>
          </cell>
        </row>
        <row r="31">
          <cell r="A31" t="str">
            <v>BMG - PRUDENCIAL</v>
          </cell>
          <cell r="D31">
            <v>0.25</v>
          </cell>
        </row>
        <row r="32">
          <cell r="A32" t="str">
            <v>BNP PARIBAS - PRUDENCIAL</v>
          </cell>
          <cell r="D32">
            <v>0.5</v>
          </cell>
        </row>
        <row r="33">
          <cell r="A33" t="str">
            <v>BOFA MERRILL LYNCH - PRUDENCIAL</v>
          </cell>
          <cell r="D33">
            <v>0.5</v>
          </cell>
        </row>
        <row r="34">
          <cell r="A34" t="str">
            <v>AGIBANK - PRUDENCIAL</v>
          </cell>
          <cell r="D34">
            <v>0.25</v>
          </cell>
        </row>
        <row r="35">
          <cell r="A35" t="str">
            <v>BANESTES - PRUDENCIAL</v>
          </cell>
          <cell r="D35">
            <v>0.25</v>
          </cell>
        </row>
        <row r="36">
          <cell r="A36" t="str">
            <v>PICPAY - PRUDENCIAL</v>
          </cell>
          <cell r="D36">
            <v>0.25</v>
          </cell>
        </row>
        <row r="37">
          <cell r="A37" t="str">
            <v>ORIGINAL - PRUDENCIAL</v>
          </cell>
          <cell r="D37">
            <v>0.25</v>
          </cell>
        </row>
        <row r="38">
          <cell r="A38" t="str">
            <v>GOLDMAN SACHS - PRUDENCIAL</v>
          </cell>
          <cell r="D38">
            <v>0.75</v>
          </cell>
        </row>
        <row r="39">
          <cell r="A39" t="str">
            <v>MERCANTIL DO BRASIL - PRUDENCIAL</v>
          </cell>
          <cell r="D39">
            <v>0.5</v>
          </cell>
        </row>
        <row r="40">
          <cell r="A40" t="str">
            <v>BOCOM - PRUDENCIAL</v>
          </cell>
          <cell r="D40">
            <v>0.5</v>
          </cell>
        </row>
        <row r="41">
          <cell r="A41" t="str">
            <v>BCO CLASSICO S.A. - PRUDENCIAL</v>
          </cell>
          <cell r="D41">
            <v>0.75</v>
          </cell>
        </row>
        <row r="42">
          <cell r="A42" t="str">
            <v>BD REGIONAL DO EXTREMO SUL - PRUDENCIAL</v>
          </cell>
          <cell r="D42">
            <v>0.5</v>
          </cell>
        </row>
        <row r="43">
          <cell r="A43" t="str">
            <v>BANCO CNH INDUSTRIAL CAPITAL S.A - PRUDENCIAL</v>
          </cell>
          <cell r="D43">
            <v>0.5</v>
          </cell>
        </row>
        <row r="44">
          <cell r="A44" t="str">
            <v>MORGAN STANLEY - PRUDENCIAL</v>
          </cell>
          <cell r="D44">
            <v>0.5</v>
          </cell>
        </row>
        <row r="45">
          <cell r="A45" t="str">
            <v>TERRA INVESTIMENTOS DTVM - PRUDENCIAL</v>
          </cell>
          <cell r="D45">
            <v>0.5</v>
          </cell>
        </row>
        <row r="46">
          <cell r="A46" t="str">
            <v>BANK OF CHINA (BRASIL) - PRUDENCIAL</v>
          </cell>
          <cell r="D46">
            <v>0.5</v>
          </cell>
        </row>
        <row r="47">
          <cell r="A47" t="str">
            <v>PORTO SEGURO - PRUDENCIAL</v>
          </cell>
          <cell r="D47">
            <v>0.25</v>
          </cell>
        </row>
        <row r="48">
          <cell r="A48" t="str">
            <v>BCO FIBRA S.A. - PRUDENCIAL</v>
          </cell>
          <cell r="D48">
            <v>0.25</v>
          </cell>
        </row>
        <row r="49">
          <cell r="A49" t="str">
            <v>BCO CSF S.A. - PRUDENCIAL</v>
          </cell>
          <cell r="D49">
            <v>0.25</v>
          </cell>
        </row>
        <row r="50">
          <cell r="A50" t="str">
            <v>STELLANTIS - PRUDENCIAL</v>
          </cell>
          <cell r="D50">
            <v>0.5</v>
          </cell>
        </row>
        <row r="51">
          <cell r="A51" t="str">
            <v>UBS (BRASIL) - PRUDENCIAL</v>
          </cell>
          <cell r="D51">
            <v>0.75</v>
          </cell>
        </row>
        <row r="52">
          <cell r="A52" t="str">
            <v>CREDIT AGRICOLE - PRUDENCIAL</v>
          </cell>
          <cell r="D52">
            <v>0.5</v>
          </cell>
        </row>
        <row r="53">
          <cell r="A53" t="str">
            <v>BCO DO EST. DO PA S.A. - PRUDENCIAL</v>
          </cell>
          <cell r="D53">
            <v>0.25</v>
          </cell>
        </row>
        <row r="54">
          <cell r="A54" t="str">
            <v>MERCEDES-BENZ - PRUDENCIAL</v>
          </cell>
          <cell r="D54">
            <v>0.5</v>
          </cell>
        </row>
        <row r="55">
          <cell r="A55" t="str">
            <v>SCOTIABANK BRASIL - PRUDENCIAL</v>
          </cell>
          <cell r="D55">
            <v>0.75</v>
          </cell>
        </row>
        <row r="56">
          <cell r="A56" t="str">
            <v>VOLVO - PRUDENCIAL</v>
          </cell>
          <cell r="D56">
            <v>0.5</v>
          </cell>
        </row>
        <row r="57">
          <cell r="A57" t="str">
            <v>SCANIA - PRUDENCIAL</v>
          </cell>
          <cell r="D57">
            <v>0.25</v>
          </cell>
        </row>
        <row r="58">
          <cell r="A58" t="str">
            <v>HONDA - PRUDENCIAL</v>
          </cell>
          <cell r="D58">
            <v>0.75</v>
          </cell>
        </row>
        <row r="59">
          <cell r="A59" t="str">
            <v>GM - PRUDENCIAL</v>
          </cell>
          <cell r="D59">
            <v>0.5</v>
          </cell>
        </row>
        <row r="60">
          <cell r="A60" t="str">
            <v>BR PARTNERS - PRUDENCIAL</v>
          </cell>
          <cell r="D60">
            <v>0.5</v>
          </cell>
        </row>
        <row r="61">
          <cell r="A61" t="str">
            <v>DEUTSCHE - PRUDENCIAL</v>
          </cell>
          <cell r="D61">
            <v>0.5</v>
          </cell>
        </row>
        <row r="62">
          <cell r="A62" t="str">
            <v>MIZUHO - PRUDENCIAL</v>
          </cell>
          <cell r="D62">
            <v>0.5</v>
          </cell>
        </row>
        <row r="63">
          <cell r="A63" t="str">
            <v>BCO DO EST. DE SE S.A. - PRUDENCIAL</v>
          </cell>
          <cell r="D63">
            <v>0.25</v>
          </cell>
        </row>
        <row r="64">
          <cell r="A64" t="str">
            <v>BCO DE LAGE LANDEN BRASIL S.A. - PRUDENCIAL</v>
          </cell>
          <cell r="D64">
            <v>0.25</v>
          </cell>
        </row>
        <row r="65">
          <cell r="A65" t="str">
            <v>BANCO HSBC - PRUDENCIAL</v>
          </cell>
          <cell r="D65">
            <v>0.5</v>
          </cell>
        </row>
        <row r="66">
          <cell r="A66" t="str">
            <v>BCO DES. DE MG S.A. - PRUDENCIAL</v>
          </cell>
          <cell r="D66">
            <v>0.5</v>
          </cell>
        </row>
        <row r="67">
          <cell r="A67" t="str">
            <v>BCO MUFG BRASIL S.A. - PRUDENCIAL</v>
          </cell>
          <cell r="D67">
            <v>0.75</v>
          </cell>
        </row>
        <row r="68">
          <cell r="A68" t="str">
            <v>BCO TOYOTA DO BRASIL S.A. - PRUDENCIAL</v>
          </cell>
          <cell r="D68">
            <v>0.25</v>
          </cell>
        </row>
        <row r="69">
          <cell r="A69" t="str">
            <v>PARANÁ BANCO - PRUDENCIAL</v>
          </cell>
          <cell r="D69">
            <v>0.25</v>
          </cell>
        </row>
        <row r="70">
          <cell r="A70" t="str">
            <v>BCO INBURSA S.A. - PRUDENCIAL</v>
          </cell>
          <cell r="D70">
            <v>0.5</v>
          </cell>
        </row>
        <row r="71">
          <cell r="A71" t="str">
            <v>APE POUPEX - PRUDENCIAL</v>
          </cell>
          <cell r="D71">
            <v>0.75</v>
          </cell>
        </row>
        <row r="72">
          <cell r="A72" t="str">
            <v>NEON PAGAMENTOS IP - PRUDENCIAL</v>
          </cell>
          <cell r="D72">
            <v>0.25</v>
          </cell>
        </row>
        <row r="73">
          <cell r="A73" t="str">
            <v>BCO SUMITOMO MITSUI BRASIL S.A. - PRUDENCIAL</v>
          </cell>
          <cell r="D73">
            <v>0.75</v>
          </cell>
        </row>
        <row r="74">
          <cell r="A74" t="str">
            <v>BANCO DIGIMAIS - PRUDENCIAL</v>
          </cell>
          <cell r="D74">
            <v>0.5</v>
          </cell>
        </row>
        <row r="75">
          <cell r="A75" t="str">
            <v>CREFISA S.A. CFI - PRUDENCIAL</v>
          </cell>
          <cell r="D75">
            <v>1</v>
          </cell>
        </row>
        <row r="76">
          <cell r="A76" t="str">
            <v>FACTA S.A. CFI - PRUDENCIAL</v>
          </cell>
          <cell r="D76">
            <v>0.75</v>
          </cell>
        </row>
        <row r="77">
          <cell r="A77" t="str">
            <v>SOCIETE GENERALE - PRUDENCIAL</v>
          </cell>
          <cell r="D77">
            <v>0.75</v>
          </cell>
        </row>
        <row r="78">
          <cell r="A78" t="str">
            <v>HAITONG - PRUDENCIAL</v>
          </cell>
          <cell r="D78">
            <v>0.75</v>
          </cell>
        </row>
        <row r="79">
          <cell r="A79" t="str">
            <v>SEM PARAR IP - PRUDENCIAL</v>
          </cell>
          <cell r="D79">
            <v>0.25</v>
          </cell>
        </row>
        <row r="80">
          <cell r="A80" t="str">
            <v>BANCO PACCAR - PRUDENCIAL</v>
          </cell>
          <cell r="D80">
            <v>0.75</v>
          </cell>
        </row>
        <row r="81">
          <cell r="A81" t="str">
            <v>BS2 - PRUDENCIAL</v>
          </cell>
          <cell r="D81">
            <v>0.25</v>
          </cell>
        </row>
        <row r="82">
          <cell r="A82" t="str">
            <v>ALELO IP - PRUDENCIAL</v>
          </cell>
          <cell r="D82">
            <v>0.5</v>
          </cell>
        </row>
        <row r="83">
          <cell r="A83" t="str">
            <v>INDUSTRIAL DO BRASIL - PRUDENCIAL</v>
          </cell>
          <cell r="D83">
            <v>0.5</v>
          </cell>
        </row>
        <row r="84">
          <cell r="A84" t="str">
            <v>OMNI - PRUDENCIAL</v>
          </cell>
          <cell r="D84">
            <v>0.5</v>
          </cell>
        </row>
        <row r="85">
          <cell r="A85" t="str">
            <v>REALIZE CFI - PRUDENCIAL</v>
          </cell>
          <cell r="D85">
            <v>0.5</v>
          </cell>
        </row>
        <row r="86">
          <cell r="A86" t="str">
            <v>MIDWAY S.A. - SCFI - PRUDENCIAL</v>
          </cell>
          <cell r="D86">
            <v>0.5</v>
          </cell>
        </row>
        <row r="87">
          <cell r="A87" t="str">
            <v>BCO CATERPILLAR S.A. - PRUDENCIAL</v>
          </cell>
          <cell r="D87">
            <v>0.5</v>
          </cell>
        </row>
        <row r="88">
          <cell r="A88" t="str">
            <v>RODOBENS - PRUDENCIAL</v>
          </cell>
          <cell r="D88">
            <v>0.5</v>
          </cell>
        </row>
        <row r="89">
          <cell r="A89" t="str">
            <v>FISERV DO BRASIL IP - PRUDENCIAL</v>
          </cell>
          <cell r="D89">
            <v>0.25</v>
          </cell>
        </row>
        <row r="90">
          <cell r="A90" t="str">
            <v>PEFISA S.A. - PRUDENCIAL</v>
          </cell>
          <cell r="D90">
            <v>0.25</v>
          </cell>
        </row>
        <row r="91">
          <cell r="A91" t="str">
            <v>NOVO BCO CONTINENTAL S.A. - BM - PRUDENCIAL</v>
          </cell>
          <cell r="D91">
            <v>0.25</v>
          </cell>
        </row>
        <row r="92">
          <cell r="A92" t="str">
            <v>RENDIMENTO - PRUDENCIAL</v>
          </cell>
          <cell r="D92">
            <v>0.5</v>
          </cell>
        </row>
        <row r="93">
          <cell r="A93" t="str">
            <v>DM FINANCEIRA CFI - PRUDENCIAL</v>
          </cell>
          <cell r="D93">
            <v>0.5</v>
          </cell>
        </row>
        <row r="94">
          <cell r="A94" t="str">
            <v>YAMAHA MOTOR - PRUDENCIAL</v>
          </cell>
          <cell r="D94">
            <v>0.5</v>
          </cell>
        </row>
        <row r="95">
          <cell r="A95" t="str">
            <v>AF DESENVOLVE SP S.A. - PRUDENCIAL</v>
          </cell>
          <cell r="D95">
            <v>1</v>
          </cell>
        </row>
        <row r="96">
          <cell r="A96" t="str">
            <v>BCO TRIANGULO S.A. - PRUDENCIAL</v>
          </cell>
          <cell r="D96">
            <v>0.25</v>
          </cell>
        </row>
        <row r="97">
          <cell r="A97" t="str">
            <v>INTESA SANPAOLO BRASIL S.A. - PRUDENCIAL</v>
          </cell>
          <cell r="D97">
            <v>0.75</v>
          </cell>
        </row>
        <row r="98">
          <cell r="A98" t="str">
            <v>GENIAL - PRUDENCIAL</v>
          </cell>
          <cell r="D98">
            <v>0.25</v>
          </cell>
        </row>
        <row r="99">
          <cell r="A99" t="str">
            <v>BCO LUSO BRASILEIRO S.A. - PRUDENCIAL</v>
          </cell>
          <cell r="D99">
            <v>0.5</v>
          </cell>
        </row>
        <row r="100">
          <cell r="A100" t="str">
            <v>AF PARANÁ - PRUDENCIAL</v>
          </cell>
          <cell r="D100">
            <v>1</v>
          </cell>
        </row>
        <row r="101">
          <cell r="A101" t="str">
            <v>BMW - PRUDENCIAL</v>
          </cell>
          <cell r="D101">
            <v>0.5</v>
          </cell>
        </row>
        <row r="102">
          <cell r="A102" t="str">
            <v>QI SCD - PRUDENCIAL</v>
          </cell>
          <cell r="D102">
            <v>1</v>
          </cell>
        </row>
        <row r="103">
          <cell r="A103" t="str">
            <v>SHPP BRASIL IP - PRUDENCIAL</v>
          </cell>
          <cell r="D103">
            <v>0.25</v>
          </cell>
        </row>
        <row r="104">
          <cell r="A104" t="str">
            <v>BADESUL DESENVOLVIMENTO AF/RS - PRUDENCIAL</v>
          </cell>
          <cell r="D104">
            <v>0.75</v>
          </cell>
        </row>
        <row r="105">
          <cell r="A105" t="str">
            <v>WARREN CCVM LTDA - PRUDENCIAL</v>
          </cell>
          <cell r="D105">
            <v>0.25</v>
          </cell>
        </row>
        <row r="106">
          <cell r="A106" t="str">
            <v>BCO CARGILL S.A. - PRUDENCIAL</v>
          </cell>
          <cell r="D106">
            <v>1</v>
          </cell>
        </row>
        <row r="107">
          <cell r="A107" t="str">
            <v>CREDSYSTEM IP - PRUDENCIAL</v>
          </cell>
          <cell r="D107">
            <v>0.25</v>
          </cell>
        </row>
        <row r="108">
          <cell r="A108" t="str">
            <v>BMP SCMEPP LTDA - PRUDENCIAL</v>
          </cell>
          <cell r="D108">
            <v>0.75</v>
          </cell>
        </row>
        <row r="109">
          <cell r="A109" t="str">
            <v>RANDON - PRUDENCIAL</v>
          </cell>
          <cell r="D109">
            <v>0.5</v>
          </cell>
        </row>
        <row r="110">
          <cell r="A110" t="str">
            <v>BCO KDB BRASIL S.A. - PRUDENCIAL</v>
          </cell>
          <cell r="D110">
            <v>0.75</v>
          </cell>
        </row>
        <row r="111">
          <cell r="A111" t="str">
            <v>ANDBANK - PRUDENCIAL</v>
          </cell>
          <cell r="D111">
            <v>0.25</v>
          </cell>
        </row>
        <row r="112">
          <cell r="A112" t="str">
            <v>BCO ABN AMRO CLEARING - PRUDENCIAL</v>
          </cell>
          <cell r="D112">
            <v>1</v>
          </cell>
        </row>
        <row r="113">
          <cell r="A113" t="str">
            <v>MAGALUPAY IP - PRUDENCIAL</v>
          </cell>
          <cell r="D113">
            <v>0.5</v>
          </cell>
        </row>
        <row r="114">
          <cell r="A114" t="str">
            <v>ADYEN DO BRASIL IP - PRUDENCIAL</v>
          </cell>
          <cell r="D114">
            <v>0.25</v>
          </cell>
        </row>
        <row r="115">
          <cell r="A115" t="str">
            <v>PAYPAL DO BRASIL IP - PRUDENCIAL</v>
          </cell>
          <cell r="D115">
            <v>0.75</v>
          </cell>
        </row>
        <row r="116">
          <cell r="A116" t="str">
            <v>99PAY IP - PRUDENCIAL</v>
          </cell>
          <cell r="D116">
            <v>1</v>
          </cell>
        </row>
        <row r="117">
          <cell r="A117" t="str">
            <v>AFINZ IP - PRUDENCIAL</v>
          </cell>
          <cell r="D117">
            <v>0.25</v>
          </cell>
        </row>
        <row r="118">
          <cell r="A118" t="str">
            <v>S3 CACEIS BRASIL DTVM - PRUDENCIAL</v>
          </cell>
          <cell r="D118">
            <v>1</v>
          </cell>
        </row>
        <row r="119">
          <cell r="A119" t="str">
            <v>OURIBANK - PRUDENCIAL</v>
          </cell>
          <cell r="D119">
            <v>0.5</v>
          </cell>
        </row>
        <row r="120">
          <cell r="A120" t="str">
            <v>CORA SCFI - PRUDENCIAL</v>
          </cell>
          <cell r="D120">
            <v>0.75</v>
          </cell>
        </row>
        <row r="121">
          <cell r="A121" t="str">
            <v>BBC S.A. - PRUDENCIAL</v>
          </cell>
          <cell r="D121">
            <v>0.25</v>
          </cell>
        </row>
        <row r="122">
          <cell r="A122" t="str">
            <v>SUMUP IP - PRUDENCIAL</v>
          </cell>
          <cell r="D122">
            <v>0.5</v>
          </cell>
        </row>
        <row r="123">
          <cell r="A123" t="str">
            <v>BANCO TOPÁZIO S.A. - PRUDENCIAL</v>
          </cell>
          <cell r="D123">
            <v>0.75</v>
          </cell>
        </row>
        <row r="124">
          <cell r="A124" t="str">
            <v>BANCO IBM S.A. - PRUDENCIAL</v>
          </cell>
          <cell r="D124">
            <v>1</v>
          </cell>
        </row>
        <row r="125">
          <cell r="A125" t="str">
            <v>EDENRED SOLUCOES E IP AHA - PRUDENCIAL</v>
          </cell>
          <cell r="D125">
            <v>0.25</v>
          </cell>
        </row>
        <row r="126">
          <cell r="A126" t="str">
            <v>BCO GUANABARA S.A. - PRUDENCIAL</v>
          </cell>
          <cell r="D126">
            <v>0.5</v>
          </cell>
        </row>
        <row r="127">
          <cell r="A127" t="str">
            <v>ASAAS GESTAO FINANCEIRA IP - PRUDENCIAL</v>
          </cell>
          <cell r="D127">
            <v>1</v>
          </cell>
        </row>
        <row r="128">
          <cell r="A128" t="str">
            <v>DOCK IP - PRUDENCIAL</v>
          </cell>
          <cell r="D128">
            <v>0.5</v>
          </cell>
        </row>
        <row r="129">
          <cell r="A129" t="str">
            <v>BCO DES. DO ES S.A. - PRUDENCIAL</v>
          </cell>
          <cell r="D129">
            <v>0.75</v>
          </cell>
        </row>
        <row r="130">
          <cell r="A130" t="str">
            <v>BANCO BARI DE INVESTIMENTO E FINANCI. - PRUDENCIAL</v>
          </cell>
          <cell r="D130">
            <v>0.5</v>
          </cell>
        </row>
        <row r="131">
          <cell r="A131" t="str">
            <v>BANCO RIBEIRÃO PRETO - PRUDENCIAL</v>
          </cell>
          <cell r="D131">
            <v>0.25</v>
          </cell>
        </row>
        <row r="132">
          <cell r="A132" t="str">
            <v>FLASH TECNOLOGIA IP - PRUDENCIAL</v>
          </cell>
          <cell r="D132">
            <v>1</v>
          </cell>
        </row>
        <row r="133">
          <cell r="A133" t="str">
            <v>CAIXA GERAL - PRUDENCIAL</v>
          </cell>
          <cell r="D133">
            <v>0.5</v>
          </cell>
        </row>
        <row r="134">
          <cell r="A134" t="str">
            <v>RECARGAPAY IP - PRUDENCIAL</v>
          </cell>
          <cell r="D134">
            <v>0.75</v>
          </cell>
        </row>
        <row r="135">
          <cell r="A135" t="str">
            <v>LEASEPLAN AM S.A. - PRUDENCIAL</v>
          </cell>
          <cell r="D135">
            <v>0.5</v>
          </cell>
        </row>
        <row r="136">
          <cell r="A136" t="str">
            <v>HP FINANCIAL SERVICES AM S.A - PRUDENCIAL</v>
          </cell>
          <cell r="D136">
            <v>1</v>
          </cell>
        </row>
        <row r="137">
          <cell r="A137" t="str">
            <v>QISTA S.A. CFI - PRUDENCIAL</v>
          </cell>
          <cell r="D137">
            <v>0.5</v>
          </cell>
        </row>
        <row r="138">
          <cell r="A138" t="str">
            <v>AF DO ESTADO DE SC S.A. - PRUDENCIAL</v>
          </cell>
          <cell r="D138">
            <v>1</v>
          </cell>
        </row>
        <row r="139">
          <cell r="A139" t="str">
            <v>BANCO PAULISTA - PRUDENCIAL</v>
          </cell>
          <cell r="D139">
            <v>0.25</v>
          </cell>
        </row>
        <row r="140">
          <cell r="A140" t="str">
            <v>VORTX DTVM - PRUDENCIAL</v>
          </cell>
          <cell r="D140">
            <v>0.75</v>
          </cell>
        </row>
        <row r="141">
          <cell r="A141" t="str">
            <v>BNY MELLON - PRUDENCIAL</v>
          </cell>
          <cell r="D141">
            <v>0.75</v>
          </cell>
        </row>
        <row r="142">
          <cell r="A142" t="str">
            <v>ENTREPAY IP - PRUDENCIAL</v>
          </cell>
          <cell r="D142">
            <v>0.5</v>
          </cell>
        </row>
        <row r="143">
          <cell r="A143" t="str">
            <v>STRIPE BRASIL IP PRUDENCIAL</v>
          </cell>
          <cell r="D143">
            <v>0.25</v>
          </cell>
        </row>
        <row r="144">
          <cell r="A144" t="str">
            <v>CELCOIN IP - PRUDENCIAL</v>
          </cell>
          <cell r="D144">
            <v>0.75</v>
          </cell>
        </row>
        <row r="145">
          <cell r="A145" t="str">
            <v>IUGU IP - PRUDENCIAL</v>
          </cell>
          <cell r="D145">
            <v>0.25</v>
          </cell>
        </row>
        <row r="146">
          <cell r="A146" t="str">
            <v>STATE STREET BRASIL - PRUDENCIAL</v>
          </cell>
          <cell r="D146">
            <v>1</v>
          </cell>
        </row>
        <row r="147">
          <cell r="A147" t="str">
            <v>SWAP IP - PRUDENCIAL</v>
          </cell>
          <cell r="D147">
            <v>0.5</v>
          </cell>
        </row>
        <row r="148">
          <cell r="A148" t="str">
            <v>BCO KEB DO BRASIL SA - PRUDENCIAL</v>
          </cell>
          <cell r="D148">
            <v>1</v>
          </cell>
        </row>
        <row r="149">
          <cell r="A149" t="str">
            <v>EBANX IP - PRUDENCIAL</v>
          </cell>
          <cell r="D149">
            <v>1</v>
          </cell>
        </row>
        <row r="150">
          <cell r="A150" t="str">
            <v>BANCO MONEO S.A. - PRUDENCIAL</v>
          </cell>
          <cell r="D150">
            <v>0.5</v>
          </cell>
        </row>
        <row r="151">
          <cell r="A151" t="str">
            <v>SENFFNET IP - PRUDENCIAL</v>
          </cell>
          <cell r="D151">
            <v>0.5</v>
          </cell>
        </row>
        <row r="152">
          <cell r="A152" t="str">
            <v>CHG-MERIDIAN DO BRASIL AM S.A. - PRUDENCIAL</v>
          </cell>
          <cell r="D152">
            <v>0.5</v>
          </cell>
        </row>
        <row r="153">
          <cell r="A153" t="str">
            <v>ICBC DO BRASIL BM S.A. - PRUDENCIAL</v>
          </cell>
          <cell r="D153">
            <v>0.75</v>
          </cell>
        </row>
        <row r="154">
          <cell r="A154" t="str">
            <v>BANCO KOMATSU DO BRASIL - PRUDENCIAL</v>
          </cell>
          <cell r="D154">
            <v>0.5</v>
          </cell>
        </row>
        <row r="155">
          <cell r="A155" t="str">
            <v>BBVA BRASIL BI S.A. - PRUDENCIAL</v>
          </cell>
          <cell r="D155">
            <v>1</v>
          </cell>
        </row>
        <row r="156">
          <cell r="A156" t="str">
            <v>BCO ARBI S.A. - PRUDENCIAL</v>
          </cell>
          <cell r="D156">
            <v>0.25</v>
          </cell>
        </row>
        <row r="157">
          <cell r="A157" t="str">
            <v>WISE BRASIL CC - PRUDENCIAL</v>
          </cell>
          <cell r="D157">
            <v>0.5</v>
          </cell>
        </row>
        <row r="158">
          <cell r="A158" t="str">
            <v>EMPRESA BRASILEIRA DE BENEFICIOS E PAGAMENTOS IP -</v>
          </cell>
          <cell r="D158">
            <v>0.5</v>
          </cell>
        </row>
        <row r="159">
          <cell r="A159" t="str">
            <v>STARA FINANCEIRA S.A. - CFI - PRUDENCIAL</v>
          </cell>
          <cell r="D159">
            <v>0.25</v>
          </cell>
        </row>
        <row r="160">
          <cell r="A160" t="str">
            <v>CARUANA SCFI - PRUDENCIAL</v>
          </cell>
          <cell r="D160">
            <v>0.25</v>
          </cell>
        </row>
        <row r="161">
          <cell r="A161" t="str">
            <v>BANCO SEMEAR - PRUDENCIAL</v>
          </cell>
          <cell r="D161">
            <v>0.25</v>
          </cell>
        </row>
        <row r="162">
          <cell r="A162" t="str">
            <v>NATURA &amp;CO PAY SCD</v>
          </cell>
          <cell r="D162">
            <v>0.75</v>
          </cell>
        </row>
        <row r="163">
          <cell r="A163" t="str">
            <v>STARK SCD - PRUDENCIAL</v>
          </cell>
          <cell r="D163">
            <v>0.75</v>
          </cell>
        </row>
        <row r="164">
          <cell r="A164" t="str">
            <v>BANCO B3 - PRUDENCIAL</v>
          </cell>
          <cell r="D164">
            <v>1</v>
          </cell>
        </row>
        <row r="165">
          <cell r="A165" t="str">
            <v>BPCE EQUIPMENT AM - PRUDENCIAL</v>
          </cell>
          <cell r="D165">
            <v>0.75</v>
          </cell>
        </row>
        <row r="166">
          <cell r="A166" t="str">
            <v>WORLDPAY DO BRASIL IP - PRUDENCIAL</v>
          </cell>
          <cell r="D166">
            <v>0.75</v>
          </cell>
        </row>
        <row r="167">
          <cell r="A167" t="str">
            <v>FATOR - PRUDENCIAL</v>
          </cell>
          <cell r="D167">
            <v>0.25</v>
          </cell>
        </row>
        <row r="168">
          <cell r="A168" t="str">
            <v>DLOCAL BRASIL INSTITUIÇÃO DE PAGAMENTO - PRUDENCIA</v>
          </cell>
          <cell r="D168">
            <v>0.75</v>
          </cell>
        </row>
        <row r="169">
          <cell r="A169" t="str">
            <v>BCO WOORI BANK DO BRASIL S.A. - PRUDENCIAL</v>
          </cell>
          <cell r="D169">
            <v>0.75</v>
          </cell>
        </row>
        <row r="170">
          <cell r="A170" t="str">
            <v>CSILATINA A.M. S.A. - PRUDENCIAL</v>
          </cell>
          <cell r="D170">
            <v>0.75</v>
          </cell>
        </row>
        <row r="171">
          <cell r="A171" t="str">
            <v>BANCO TRAVELEX - PRUDENCIAL</v>
          </cell>
          <cell r="D171">
            <v>0.25</v>
          </cell>
        </row>
        <row r="172">
          <cell r="A172" t="str">
            <v>BANCO XCMG BRASIL - PRUDENCIAL</v>
          </cell>
          <cell r="D172">
            <v>0.75</v>
          </cell>
        </row>
        <row r="173">
          <cell r="A173" t="str">
            <v>BOA VIAGEM SCC LTDA. - PRUDENCIAL</v>
          </cell>
          <cell r="D173">
            <v>0.25</v>
          </cell>
        </row>
        <row r="174">
          <cell r="A174" t="str">
            <v>AGROLEND SCFI - PRUDENCIAL</v>
          </cell>
          <cell r="D174">
            <v>1</v>
          </cell>
        </row>
        <row r="175">
          <cell r="A175" t="str">
            <v>MIRAE ASSET (BRASIL) CCTVM - PRUDENCIAL</v>
          </cell>
          <cell r="D175">
            <v>1</v>
          </cell>
        </row>
        <row r="176">
          <cell r="A176" t="str">
            <v>ZEMA CFI - PRUDENCIAL</v>
          </cell>
          <cell r="D176">
            <v>0.75</v>
          </cell>
        </row>
        <row r="177">
          <cell r="A177" t="str">
            <v>LEBES FINANCEIRA S.A. - CFI - PRUDENCIAL</v>
          </cell>
          <cell r="D177">
            <v>0.75</v>
          </cell>
        </row>
        <row r="178">
          <cell r="A178" t="str">
            <v>CREDIARE CFI - PRUDENCIAL</v>
          </cell>
          <cell r="D178">
            <v>0.5</v>
          </cell>
        </row>
        <row r="179">
          <cell r="A179" t="str">
            <v>REAG TRUST DTVM - PRUDENCIAL</v>
          </cell>
          <cell r="D179">
            <v>0.5</v>
          </cell>
        </row>
        <row r="180">
          <cell r="A180" t="str">
            <v>AGENCIA FOMENTO EST RJ S.A. - PRUDENCIAL</v>
          </cell>
          <cell r="D180">
            <v>1</v>
          </cell>
        </row>
        <row r="181">
          <cell r="A181" t="str">
            <v>BCO TRICURY S.A. - PRUDENCIAL</v>
          </cell>
          <cell r="D181">
            <v>0.75</v>
          </cell>
        </row>
        <row r="182">
          <cell r="A182" t="str">
            <v>CALCARD IP - PRUDENCIAL</v>
          </cell>
          <cell r="D182">
            <v>0.5</v>
          </cell>
        </row>
        <row r="183">
          <cell r="A183" t="str">
            <v>AME DIGITAL BRASIL IP - PRUDENCIAL</v>
          </cell>
          <cell r="D183">
            <v>1</v>
          </cell>
        </row>
        <row r="184">
          <cell r="A184" t="str">
            <v>EFI S.A. IP - PRUDENCIAL</v>
          </cell>
          <cell r="D184">
            <v>0.5</v>
          </cell>
        </row>
        <row r="185">
          <cell r="A185" t="str">
            <v>VR - PRUDENCIAL</v>
          </cell>
          <cell r="D185">
            <v>0.25</v>
          </cell>
        </row>
        <row r="186">
          <cell r="A186" t="str">
            <v>QUERO-QUERO VERDECARD IP - PRUDENCIAL</v>
          </cell>
          <cell r="D186">
            <v>0.5</v>
          </cell>
        </row>
        <row r="187">
          <cell r="A187" t="str">
            <v>BLU IP - PRUDENCIAL</v>
          </cell>
          <cell r="D187">
            <v>0.25</v>
          </cell>
        </row>
        <row r="188">
          <cell r="A188" t="str">
            <v>BULLLA IP - PRUDENCIAL</v>
          </cell>
          <cell r="D188">
            <v>0.25</v>
          </cell>
        </row>
        <row r="189">
          <cell r="A189" t="str">
            <v>CLARA IP - PRUDENCIAL</v>
          </cell>
          <cell r="D189">
            <v>0.5</v>
          </cell>
        </row>
        <row r="190">
          <cell r="A190" t="str">
            <v>BANQI IP - PRUDENCIAL</v>
          </cell>
          <cell r="D190">
            <v>1</v>
          </cell>
        </row>
        <row r="191">
          <cell r="A191" t="str">
            <v>VIA CERTA CFI - PRUDENCIAL</v>
          </cell>
          <cell r="D191">
            <v>0.5</v>
          </cell>
        </row>
        <row r="192">
          <cell r="A192" t="str">
            <v>SUPERLÓGICA SCD PRUDENCIAL</v>
          </cell>
          <cell r="D192">
            <v>0.5</v>
          </cell>
        </row>
        <row r="193">
          <cell r="A193" t="str">
            <v>MÊNTORE IP - PRUDENCIAL</v>
          </cell>
          <cell r="D193">
            <v>0.5</v>
          </cell>
        </row>
        <row r="194">
          <cell r="A194" t="str">
            <v>OLIVEIRA TRUST DTVM S.A. - PRUDENCIAL</v>
          </cell>
          <cell r="D194">
            <v>0.5</v>
          </cell>
        </row>
        <row r="195">
          <cell r="A195" t="str">
            <v>OKTO IP - PRUDENCIAL</v>
          </cell>
          <cell r="D195">
            <v>0.75</v>
          </cell>
        </row>
        <row r="196">
          <cell r="A196" t="str">
            <v>PROVER PROMOCAO DE VENDAS IP - PRUDENCIAL</v>
          </cell>
          <cell r="D196">
            <v>0.25</v>
          </cell>
        </row>
        <row r="197">
          <cell r="A197" t="str">
            <v>SOCINAL S.A. CFI - PRUDENCIAL</v>
          </cell>
          <cell r="D197">
            <v>0.5</v>
          </cell>
        </row>
        <row r="198">
          <cell r="A198" t="str">
            <v>KREDILIG S.A. - CFI - PRUDENCIAL</v>
          </cell>
          <cell r="D198">
            <v>0.5</v>
          </cell>
        </row>
        <row r="199">
          <cell r="A199" t="str">
            <v>GAZINCRED SCFI - PRUDENCIAL</v>
          </cell>
          <cell r="D199">
            <v>0.75</v>
          </cell>
        </row>
        <row r="200">
          <cell r="A200" t="str">
            <v>ASTRO IP - PRUDENCIAL</v>
          </cell>
          <cell r="D200">
            <v>0.75</v>
          </cell>
        </row>
        <row r="201">
          <cell r="A201" t="str">
            <v>GOWD IP - PRUDENCIAL</v>
          </cell>
          <cell r="D201">
            <v>0.25</v>
          </cell>
        </row>
        <row r="202">
          <cell r="A202" t="str">
            <v>NEGRESCO S.A. - CFI - PRUDENCIAL</v>
          </cell>
          <cell r="D202">
            <v>0.75</v>
          </cell>
        </row>
        <row r="203">
          <cell r="A203" t="str">
            <v>FINAMAX S.A. CFI - PRUDENCIAL</v>
          </cell>
          <cell r="D203">
            <v>0.5</v>
          </cell>
        </row>
        <row r="204">
          <cell r="A204" t="str">
            <v>TENTOS CFI - PRUDENCIAL</v>
          </cell>
          <cell r="D204">
            <v>0.5</v>
          </cell>
        </row>
        <row r="205">
          <cell r="A205" t="str">
            <v>BGC LIQUIDEZ DTVM LTDA - PRUDENCIAL</v>
          </cell>
          <cell r="D205">
            <v>0.75</v>
          </cell>
        </row>
        <row r="206">
          <cell r="A206" t="str">
            <v>ONEKEY PAYMENTS IP - PRUDENCIAL</v>
          </cell>
          <cell r="D206">
            <v>0.75</v>
          </cell>
        </row>
        <row r="207">
          <cell r="A207" t="str">
            <v>SANTINVEST - PRUDENCIAL</v>
          </cell>
          <cell r="D207">
            <v>1</v>
          </cell>
        </row>
        <row r="208">
          <cell r="A208" t="str">
            <v>BEES IP - PRUDENCIAL</v>
          </cell>
          <cell r="D208">
            <v>0.5</v>
          </cell>
        </row>
        <row r="209">
          <cell r="A209" t="str">
            <v>VIC DTVM S/A - PRUDENCIAL</v>
          </cell>
          <cell r="D209">
            <v>0.75</v>
          </cell>
        </row>
        <row r="210">
          <cell r="A210" t="str">
            <v>OXY CH - PRUDENCIAL</v>
          </cell>
          <cell r="D210">
            <v>0.75</v>
          </cell>
        </row>
        <row r="211">
          <cell r="A211" t="str">
            <v>LAUNCH PAD SCD - PRUDENCIAL</v>
          </cell>
          <cell r="D211">
            <v>1</v>
          </cell>
        </row>
        <row r="212">
          <cell r="A212" t="str">
            <v>PAGUEVELOZ IP - PRUDENCIAL</v>
          </cell>
          <cell r="D212">
            <v>0.75</v>
          </cell>
        </row>
        <row r="213">
          <cell r="A213" t="str">
            <v>STRADA PAY IP - PRUDENCIAL</v>
          </cell>
          <cell r="D213">
            <v>0.25</v>
          </cell>
        </row>
        <row r="214">
          <cell r="A214" t="str">
            <v>OPEA SCD - PRUDENCIAL</v>
          </cell>
          <cell r="D214">
            <v>0.25</v>
          </cell>
        </row>
        <row r="215">
          <cell r="A215" t="str">
            <v>STONEX DTVM - PRUDENCIAL</v>
          </cell>
          <cell r="D215">
            <v>0.75</v>
          </cell>
        </row>
        <row r="216">
          <cell r="A216" t="str">
            <v>WESTERN UNION - PRUDENCIAL</v>
          </cell>
          <cell r="D216">
            <v>0.75</v>
          </cell>
        </row>
        <row r="217">
          <cell r="A217" t="str">
            <v>BK IP - PRUDENCIAL</v>
          </cell>
          <cell r="D217">
            <v>0.25</v>
          </cell>
        </row>
        <row r="218">
          <cell r="A218" t="str">
            <v>ACG IP - PRUDENCIAL</v>
          </cell>
          <cell r="D218">
            <v>0.75</v>
          </cell>
        </row>
        <row r="219">
          <cell r="A219" t="str">
            <v>BRAZA BANK BCO CÂMBIO - PRUDENCIAL</v>
          </cell>
          <cell r="D219">
            <v>0.25</v>
          </cell>
        </row>
        <row r="220">
          <cell r="A220" t="str">
            <v>ATIVA S.A. CTCV - PRUDENCIAL</v>
          </cell>
          <cell r="D220">
            <v>0.5</v>
          </cell>
        </row>
        <row r="221">
          <cell r="A221" t="str">
            <v>AVENUE SECURITIES DTVM - PRUDENCIAL</v>
          </cell>
          <cell r="D221">
            <v>0.5</v>
          </cell>
        </row>
        <row r="222">
          <cell r="A222" t="str">
            <v>EQI INVESTIMENTOS CTVM - PRUDENCIAL</v>
          </cell>
          <cell r="D222">
            <v>0.5</v>
          </cell>
        </row>
        <row r="223">
          <cell r="A223" t="str">
            <v>TRANSFEERA IP - PRUDENCIAL</v>
          </cell>
          <cell r="D223">
            <v>0.5</v>
          </cell>
        </row>
        <row r="224">
          <cell r="A224" t="str">
            <v>AFEAM - PRUDENCIAL</v>
          </cell>
          <cell r="D224">
            <v>1</v>
          </cell>
        </row>
        <row r="225">
          <cell r="A225" t="str">
            <v>DELCRED SCD - PRUDENCIAL</v>
          </cell>
          <cell r="D225">
            <v>0.75</v>
          </cell>
        </row>
        <row r="226">
          <cell r="A226" t="str">
            <v>COOPER CARD IP - PRUDENCIAL</v>
          </cell>
          <cell r="D226">
            <v>0.75</v>
          </cell>
        </row>
        <row r="227">
          <cell r="A227" t="str">
            <v>SINOSSERRA FINANCEIRA S/A - PRUDENCIAL</v>
          </cell>
          <cell r="D227">
            <v>0.5</v>
          </cell>
        </row>
        <row r="228">
          <cell r="A228" t="str">
            <v>EBURY BANCO DE CÂMBIO - PRUDENCIAL</v>
          </cell>
          <cell r="D228">
            <v>0.25</v>
          </cell>
        </row>
        <row r="229">
          <cell r="A229" t="str">
            <v>AGÊNCIA DE FOMENTO MATO GROSSO - PRUDENCIAL</v>
          </cell>
          <cell r="D229">
            <v>1</v>
          </cell>
        </row>
        <row r="230">
          <cell r="A230" t="str">
            <v>PLUXEE IP - PRUDENCIAL</v>
          </cell>
          <cell r="D230">
            <v>1</v>
          </cell>
        </row>
        <row r="231">
          <cell r="A231" t="str">
            <v>CARTOS SCD - PRUDENCIAL</v>
          </cell>
          <cell r="D231">
            <v>0.25</v>
          </cell>
        </row>
        <row r="232">
          <cell r="A232" t="str">
            <v>SUL AMERICA INVEST DTVM S.A. - PRUDENCIAL</v>
          </cell>
          <cell r="D232">
            <v>1</v>
          </cell>
        </row>
        <row r="233">
          <cell r="A233" t="str">
            <v>EAGLE SCD - PRUDENCIAL</v>
          </cell>
          <cell r="D233">
            <v>1</v>
          </cell>
        </row>
        <row r="234">
          <cell r="A234" t="str">
            <v>MONTE BRAVO CTVM - PRUDENCIAL</v>
          </cell>
          <cell r="D234">
            <v>0.5</v>
          </cell>
        </row>
        <row r="235">
          <cell r="A235" t="str">
            <v>TULLETT PREBON BRASIL S.A. CTVM - PRUDENCIAL</v>
          </cell>
          <cell r="D235">
            <v>0.5</v>
          </cell>
        </row>
        <row r="236">
          <cell r="A236" t="str">
            <v>C&amp;A PAY SCD - PRUDENCIAL</v>
          </cell>
          <cell r="D236">
            <v>0.75</v>
          </cell>
        </row>
        <row r="237">
          <cell r="A237" t="str">
            <v>BRINKS PAY IP - PRUDENCIAL</v>
          </cell>
          <cell r="D237">
            <v>0.5</v>
          </cell>
        </row>
        <row r="238">
          <cell r="A238" t="str">
            <v>MAF-BRL TRUST - PRUDENCIAL</v>
          </cell>
          <cell r="D238">
            <v>0.5</v>
          </cell>
        </row>
        <row r="239">
          <cell r="A239" t="str">
            <v>PAY4FUN IP S.A. - PRUDENCIAL</v>
          </cell>
          <cell r="D239">
            <v>1</v>
          </cell>
        </row>
        <row r="240">
          <cell r="A240" t="str">
            <v>URBANO SCFI - PRUDENCIAL</v>
          </cell>
          <cell r="D240">
            <v>1</v>
          </cell>
        </row>
        <row r="241">
          <cell r="A241" t="str">
            <v>ASA SCD - PRUDENCIAL</v>
          </cell>
          <cell r="D241">
            <v>1</v>
          </cell>
        </row>
        <row r="242">
          <cell r="A242" t="str">
            <v>BCO LA PROVINCIA B AIRES BCE - PRUDENCIAL</v>
          </cell>
          <cell r="D242">
            <v>1</v>
          </cell>
        </row>
        <row r="243">
          <cell r="A243" t="str">
            <v>MERCADO BITCOIN IP - PRUDENCIAL</v>
          </cell>
          <cell r="D243">
            <v>0.75</v>
          </cell>
        </row>
        <row r="244">
          <cell r="A244" t="str">
            <v>OSLO CAPITAL DTVM S.A. - PRUDENCIAL</v>
          </cell>
          <cell r="D244">
            <v>0.75</v>
          </cell>
        </row>
        <row r="245">
          <cell r="A245" t="str">
            <v>PLANTAE CFI - PRUDENCIAL</v>
          </cell>
          <cell r="D245">
            <v>0.5</v>
          </cell>
        </row>
        <row r="246">
          <cell r="A246" t="str">
            <v>PLANNER - PRUDENCIAL</v>
          </cell>
          <cell r="D246">
            <v>0.25</v>
          </cell>
        </row>
        <row r="247">
          <cell r="A247" t="str">
            <v>SERVNET IP - PRUDENCIAL</v>
          </cell>
          <cell r="D247">
            <v>0.5</v>
          </cell>
        </row>
        <row r="248">
          <cell r="A248" t="str">
            <v>BCO LA NACION ARGENTINA - PRUDENCIAL</v>
          </cell>
          <cell r="D248">
            <v>0.75</v>
          </cell>
        </row>
        <row r="249">
          <cell r="A249" t="str">
            <v>CAPPTA IP - PRUDENCIAL</v>
          </cell>
          <cell r="D249">
            <v>0.75</v>
          </cell>
        </row>
        <row r="250">
          <cell r="A250" t="str">
            <v>ROADCARD IP - PRUDENCIAL</v>
          </cell>
          <cell r="D250">
            <v>1</v>
          </cell>
        </row>
        <row r="251">
          <cell r="A251" t="str">
            <v>PIAUÍ FOMENTO - PRUDENCIAL</v>
          </cell>
          <cell r="D251">
            <v>1</v>
          </cell>
        </row>
        <row r="252">
          <cell r="A252" t="str">
            <v>PAGSMILE IP - PRUDENCIAL</v>
          </cell>
          <cell r="D252">
            <v>0.75</v>
          </cell>
        </row>
        <row r="253">
          <cell r="A253" t="str">
            <v>CREDITÁ S.A. CFI - PRUDENCIAL</v>
          </cell>
          <cell r="D253">
            <v>0.75</v>
          </cell>
        </row>
        <row r="254">
          <cell r="A254" t="str">
            <v>INOVANTI IP - PRUDENCIAL</v>
          </cell>
          <cell r="D254">
            <v>0.25</v>
          </cell>
        </row>
        <row r="255">
          <cell r="A255" t="str">
            <v>ACTUAL DTVM - PRUDENCIAL</v>
          </cell>
          <cell r="D255">
            <v>1</v>
          </cell>
        </row>
        <row r="256">
          <cell r="A256" t="str">
            <v>SEFER INVESTIMENTOS DTVM - PRUDENCIAL</v>
          </cell>
          <cell r="D256">
            <v>0.25</v>
          </cell>
        </row>
        <row r="257">
          <cell r="A257" t="str">
            <v>GOOGLE PAY BRASIL IP - PRUDENCIAL</v>
          </cell>
          <cell r="D257">
            <v>1</v>
          </cell>
        </row>
        <row r="258">
          <cell r="A258" t="str">
            <v>ACQIO ADQUIRENCIA IP - PRUDENCIAL</v>
          </cell>
          <cell r="D258">
            <v>0.25</v>
          </cell>
        </row>
        <row r="259">
          <cell r="A259" t="str">
            <v>LECCA - PRUDENCIAL</v>
          </cell>
          <cell r="D259">
            <v>0.25</v>
          </cell>
        </row>
        <row r="260">
          <cell r="A260" t="str">
            <v>CM CAPITAL MARKETS - PRUDENCIAL</v>
          </cell>
          <cell r="D260">
            <v>0.25</v>
          </cell>
        </row>
        <row r="261">
          <cell r="A261" t="str">
            <v>POMELO IP - PRUDENCIAL</v>
          </cell>
          <cell r="D261">
            <v>0.25</v>
          </cell>
        </row>
        <row r="262">
          <cell r="A262" t="str">
            <v>NOVA FUTURA CTVM LTDA - PRUDENCIAL</v>
          </cell>
          <cell r="D262">
            <v>0.75</v>
          </cell>
        </row>
        <row r="263">
          <cell r="A263" t="str">
            <v>BELLUNO IP - PRUDENCIAL</v>
          </cell>
          <cell r="D263">
            <v>0.75</v>
          </cell>
        </row>
        <row r="264">
          <cell r="A264" t="str">
            <v>FLAGSHIP IP - PRUDENCIAL</v>
          </cell>
          <cell r="D264">
            <v>0.5</v>
          </cell>
        </row>
        <row r="265">
          <cell r="A265" t="str">
            <v>ATRIA S.A. - CFI - PRUDENCIAL</v>
          </cell>
          <cell r="D265">
            <v>1</v>
          </cell>
        </row>
        <row r="266">
          <cell r="A266" t="str">
            <v>JBCRED S.A. SCFI - PRUDENCIAL</v>
          </cell>
          <cell r="D266">
            <v>1</v>
          </cell>
        </row>
        <row r="267">
          <cell r="A267" t="str">
            <v>BANCO RNX S.A. - PRUDENCIAL</v>
          </cell>
          <cell r="D267">
            <v>0.5</v>
          </cell>
        </row>
        <row r="268">
          <cell r="A268" t="str">
            <v>REVOLUT SCD - PRUDENCIAL</v>
          </cell>
          <cell r="D268">
            <v>1</v>
          </cell>
        </row>
        <row r="269">
          <cell r="A269" t="str">
            <v>FORIS GFS BR IP - PRUDENCIAL</v>
          </cell>
          <cell r="D269">
            <v>1</v>
          </cell>
        </row>
        <row r="270">
          <cell r="A270" t="str">
            <v>ZERO IP - PRUDENCIAL</v>
          </cell>
          <cell r="D270">
            <v>0.75</v>
          </cell>
        </row>
        <row r="271">
          <cell r="A271" t="str">
            <v>NVIO BRASIL BITSO IP - PRUDENCIAL</v>
          </cell>
          <cell r="D271">
            <v>1</v>
          </cell>
        </row>
        <row r="272">
          <cell r="A272" t="str">
            <v>GALAPAGOS CAPITAL DTVM - PRUDENCIAL</v>
          </cell>
          <cell r="D272">
            <v>0.5</v>
          </cell>
        </row>
        <row r="273">
          <cell r="A273" t="str">
            <v>TRIO IP - PRUDENCIAL</v>
          </cell>
          <cell r="D273">
            <v>1</v>
          </cell>
        </row>
        <row r="274">
          <cell r="A274" t="str">
            <v>PAGCERTO IP - PRUDENCIAL</v>
          </cell>
          <cell r="D274">
            <v>1</v>
          </cell>
        </row>
        <row r="275">
          <cell r="A275" t="str">
            <v>SITA SCCVM S.A. - PRUDENCIAL</v>
          </cell>
          <cell r="D275">
            <v>1</v>
          </cell>
        </row>
        <row r="276">
          <cell r="A276" t="str">
            <v>CLARO PAY IP - PRUDENCIAL</v>
          </cell>
          <cell r="D276">
            <v>0.75</v>
          </cell>
        </row>
        <row r="277">
          <cell r="A277" t="str">
            <v>LIONS TRUST DTVM PRUDENCIAL</v>
          </cell>
          <cell r="D277">
            <v>0.75</v>
          </cell>
        </row>
        <row r="278">
          <cell r="A278" t="str">
            <v>GRAZZIOTIN FINANCEIRA - PRUDENCIAL</v>
          </cell>
          <cell r="D278">
            <v>0.75</v>
          </cell>
        </row>
        <row r="279">
          <cell r="A279" t="str">
            <v>FAIR CC S.A. - PRUDENCIAL</v>
          </cell>
          <cell r="D279">
            <v>0.25</v>
          </cell>
        </row>
        <row r="280">
          <cell r="A280" t="str">
            <v>BCO CEDULA S.A. - PRUDENCIAL</v>
          </cell>
          <cell r="D280">
            <v>1</v>
          </cell>
        </row>
        <row r="281">
          <cell r="A281" t="str">
            <v>BCO INDUSCRED DE INVESTIM. S/A - PRUDENCIAL</v>
          </cell>
          <cell r="D281">
            <v>1</v>
          </cell>
        </row>
        <row r="282">
          <cell r="A282" t="str">
            <v>KANASTRA FINANCEIRA CFI - PRUDENCIAL</v>
          </cell>
          <cell r="D282">
            <v>1</v>
          </cell>
        </row>
        <row r="283">
          <cell r="A283" t="str">
            <v>ACCREDITO SCD - PRUDENCIAL</v>
          </cell>
          <cell r="D283">
            <v>0.75</v>
          </cell>
        </row>
        <row r="284">
          <cell r="A284" t="str">
            <v>FIDUCIA SCMEPP LTDA - PRUDENCIAL</v>
          </cell>
          <cell r="D284">
            <v>0.75</v>
          </cell>
        </row>
        <row r="285">
          <cell r="A285" t="str">
            <v>AF ESTADO DE PERNAMBUCO S.A. - PRUDENCIAL</v>
          </cell>
          <cell r="D285">
            <v>1</v>
          </cell>
        </row>
        <row r="286">
          <cell r="A286" t="str">
            <v>Z-ON SCD - PRUDENCIAL</v>
          </cell>
          <cell r="D286">
            <v>1</v>
          </cell>
        </row>
        <row r="287">
          <cell r="A287" t="str">
            <v>LP DO BRASIL IP - PRUDENCIAL</v>
          </cell>
          <cell r="D287">
            <v>0.25</v>
          </cell>
        </row>
        <row r="288">
          <cell r="A288" t="str">
            <v>ADVANCED CC LTDA - PRUDENCIAL</v>
          </cell>
          <cell r="D288">
            <v>0.25</v>
          </cell>
        </row>
        <row r="289">
          <cell r="A289" t="str">
            <v>DIRECAO S.A. CFI - PRUDENCIAL</v>
          </cell>
          <cell r="D289">
            <v>1</v>
          </cell>
        </row>
        <row r="290">
          <cell r="A290" t="str">
            <v>AG. FOMENTO ESTADO DO TOCANTINS - PRUDENCIAL</v>
          </cell>
          <cell r="D290">
            <v>1</v>
          </cell>
        </row>
        <row r="291">
          <cell r="A291" t="str">
            <v>HINOVA PAY IP - PRUDENCIAL</v>
          </cell>
          <cell r="D291">
            <v>1</v>
          </cell>
        </row>
        <row r="292">
          <cell r="A292" t="str">
            <v>CONTA PRONTA IP - PRUDENCIAL</v>
          </cell>
          <cell r="D292">
            <v>0.25</v>
          </cell>
        </row>
        <row r="293">
          <cell r="A293" t="str">
            <v>HEMERA DTVM - PRUDENCIAL</v>
          </cell>
          <cell r="D293">
            <v>0.75</v>
          </cell>
        </row>
        <row r="294">
          <cell r="A294" t="str">
            <v>CREDITAS SCD - PRUDENCIAL</v>
          </cell>
          <cell r="D294">
            <v>1</v>
          </cell>
        </row>
        <row r="295">
          <cell r="A295" t="str">
            <v>UY3 SCD - PRUDENCIAL</v>
          </cell>
          <cell r="D295">
            <v>1</v>
          </cell>
        </row>
        <row r="296">
          <cell r="A296" t="str">
            <v>ID CTVM - PRUDENCIAL</v>
          </cell>
          <cell r="D296">
            <v>0.25</v>
          </cell>
        </row>
        <row r="297">
          <cell r="A297" t="str">
            <v>H.H.PICCHIONI - PRUDENCIAL</v>
          </cell>
          <cell r="D297">
            <v>0.5</v>
          </cell>
        </row>
        <row r="298">
          <cell r="A298" t="str">
            <v>ARTTA SCD PRUDENCIAL</v>
          </cell>
          <cell r="D298">
            <v>1</v>
          </cell>
        </row>
        <row r="299">
          <cell r="A299" t="str">
            <v>ECONOMIA CI S.A.-ECONOMISA - PRUDENCIAL</v>
          </cell>
          <cell r="D299">
            <v>1</v>
          </cell>
        </row>
        <row r="300">
          <cell r="A300" t="str">
            <v>MOVA SEP - PRUDENCIAL</v>
          </cell>
          <cell r="D300">
            <v>0.25</v>
          </cell>
        </row>
        <row r="301">
          <cell r="A301" t="str">
            <v>MONEYCORP - PRUDENCIAL</v>
          </cell>
          <cell r="D301">
            <v>0.5</v>
          </cell>
        </row>
        <row r="302">
          <cell r="A302" t="str">
            <v>PAYMEE BRASIL IP - PRUDENCIAL</v>
          </cell>
          <cell r="D302">
            <v>1</v>
          </cell>
        </row>
        <row r="303">
          <cell r="A303" t="str">
            <v>OM DTVM LTDA - PRUDENCIAL</v>
          </cell>
          <cell r="D303">
            <v>0.5</v>
          </cell>
        </row>
        <row r="304">
          <cell r="A304" t="str">
            <v>CREFAZ SCMEPP - PRUDENCIAL</v>
          </cell>
          <cell r="D304">
            <v>0.75</v>
          </cell>
        </row>
        <row r="305">
          <cell r="A305" t="str">
            <v>PROTEGE CASH IP PRUDENCIAL</v>
          </cell>
          <cell r="D305">
            <v>0.25</v>
          </cell>
        </row>
        <row r="306">
          <cell r="A306" t="str">
            <v>SOMAPAY SCD - PRUDENCIAL</v>
          </cell>
          <cell r="D306">
            <v>0.5</v>
          </cell>
        </row>
        <row r="307">
          <cell r="A307" t="str">
            <v>CODEPE CORRETORA DE VAL. S.A. - PRUDENCIAL</v>
          </cell>
          <cell r="D307">
            <v>1</v>
          </cell>
        </row>
        <row r="308">
          <cell r="A308" t="str">
            <v>AFAL - PRUDENCIAL</v>
          </cell>
          <cell r="D308">
            <v>1</v>
          </cell>
        </row>
        <row r="309">
          <cell r="A309" t="str">
            <v>SUPERBID PAY IP - PRUDENCIAL</v>
          </cell>
          <cell r="D309">
            <v>0.75</v>
          </cell>
        </row>
        <row r="310">
          <cell r="A310" t="str">
            <v>INTEX BANK BCO CÂMBIO - PRUDENCIAL</v>
          </cell>
          <cell r="D310">
            <v>0.25</v>
          </cell>
        </row>
        <row r="311">
          <cell r="A311" t="str">
            <v>FINNET S/A TECNOLOGIA E IP - PRUDENCIAL</v>
          </cell>
          <cell r="D311">
            <v>0.75</v>
          </cell>
        </row>
        <row r="312">
          <cell r="A312" t="str">
            <v>VALOR CFI - PRUDENCIAL</v>
          </cell>
          <cell r="D312">
            <v>1</v>
          </cell>
        </row>
        <row r="313">
          <cell r="A313" t="str">
            <v>CAPITAL CONSIG SCD - PRUDENCIAL</v>
          </cell>
          <cell r="D313">
            <v>0.25</v>
          </cell>
        </row>
        <row r="314">
          <cell r="A314" t="str">
            <v>MICROCASH SCMEPP - PRUDENCIAL</v>
          </cell>
          <cell r="D314">
            <v>0.25</v>
          </cell>
        </row>
        <row r="315">
          <cell r="A315" t="str">
            <v>BRASIL CASH IP - PRUDENCIAL</v>
          </cell>
          <cell r="D315">
            <v>0.25</v>
          </cell>
        </row>
        <row r="316">
          <cell r="A316" t="str">
            <v>DANK SCD - PRUDENCIAL</v>
          </cell>
          <cell r="D316">
            <v>0.25</v>
          </cell>
        </row>
        <row r="317">
          <cell r="A317" t="str">
            <v>AZUMI DTVM PRUDENCIAL</v>
          </cell>
          <cell r="D317">
            <v>0.25</v>
          </cell>
        </row>
        <row r="318">
          <cell r="A318" t="str">
            <v>GERAL CCVM LTDA - PRUDENCIAL</v>
          </cell>
          <cell r="D318">
            <v>0.75</v>
          </cell>
        </row>
        <row r="319">
          <cell r="A319" t="str">
            <v>GUITTA CC LTDA - PRUDENCIAL</v>
          </cell>
          <cell r="D319">
            <v>0.25</v>
          </cell>
        </row>
        <row r="320">
          <cell r="A320" t="str">
            <v>TAMBASA SCD - PRUDENCIAL</v>
          </cell>
          <cell r="D320">
            <v>1</v>
          </cell>
        </row>
        <row r="321">
          <cell r="A321" t="str">
            <v>HEDGEPOINT GLOBAL MARKETS DTVM - PRUDENCIAL</v>
          </cell>
          <cell r="D321">
            <v>0.25</v>
          </cell>
        </row>
        <row r="322">
          <cell r="A322" t="str">
            <v>SMART SOLUTIONS GROUP IP - PRUDENCIAL</v>
          </cell>
          <cell r="D322">
            <v>1</v>
          </cell>
        </row>
        <row r="323">
          <cell r="A323" t="str">
            <v>FINAXIS - PRUDENCIAL</v>
          </cell>
          <cell r="D323">
            <v>0.25</v>
          </cell>
        </row>
        <row r="324">
          <cell r="A324" t="str">
            <v>TTSCD SCD - PRUDENCIAL</v>
          </cell>
          <cell r="D324">
            <v>1</v>
          </cell>
        </row>
        <row r="325">
          <cell r="A325" t="str">
            <v>PAY2ALL IP - PRUDENCIAL</v>
          </cell>
          <cell r="D325">
            <v>0.75</v>
          </cell>
        </row>
        <row r="326">
          <cell r="A326" t="str">
            <v>ISSUER IP - PRUDENCIAL</v>
          </cell>
          <cell r="D326">
            <v>0.75</v>
          </cell>
        </row>
        <row r="327">
          <cell r="A327" t="str">
            <v>GOLCRED - PRUDENCIAL</v>
          </cell>
          <cell r="D327">
            <v>0.5</v>
          </cell>
        </row>
        <row r="328">
          <cell r="A328" t="str">
            <v>SIMPAUL CCVM - PRUDENCIAL</v>
          </cell>
          <cell r="D328">
            <v>0.5</v>
          </cell>
        </row>
        <row r="329">
          <cell r="A329" t="str">
            <v>RED SCD - PRUDENCIAL</v>
          </cell>
          <cell r="D329">
            <v>1</v>
          </cell>
        </row>
        <row r="330">
          <cell r="A330" t="str">
            <v>TRINUS CAPITAL DTVM - PRUDENCIAL</v>
          </cell>
          <cell r="D330">
            <v>0.75</v>
          </cell>
        </row>
        <row r="331">
          <cell r="A331" t="str">
            <v>WE PAY OUT IP - PRUDENCIAL</v>
          </cell>
          <cell r="D331">
            <v>1</v>
          </cell>
        </row>
        <row r="332">
          <cell r="A332" t="str">
            <v>PAGHIPER IP - PRUDENCIAL</v>
          </cell>
          <cell r="D332">
            <v>1</v>
          </cell>
        </row>
        <row r="333">
          <cell r="A333" t="str">
            <v>LISTO IP - PRUDENCIAL</v>
          </cell>
          <cell r="D333">
            <v>0.5</v>
          </cell>
        </row>
        <row r="334">
          <cell r="A334" t="str">
            <v>RB INVESTIMENTOS DTVM - PRUDENCIAL</v>
          </cell>
          <cell r="D334">
            <v>0.25</v>
          </cell>
        </row>
        <row r="335">
          <cell r="A335" t="str">
            <v>UNIDA DTVM LTDA - PRUDENCIAL</v>
          </cell>
          <cell r="D335">
            <v>0.75</v>
          </cell>
        </row>
        <row r="336">
          <cell r="A336" t="str">
            <v>AGK CC S.A. - PRUDENCIAL</v>
          </cell>
          <cell r="D336">
            <v>0.25</v>
          </cell>
        </row>
        <row r="337">
          <cell r="A337" t="str">
            <v>PINTOS CFI - PRUDENCIAL</v>
          </cell>
          <cell r="D337">
            <v>1</v>
          </cell>
        </row>
        <row r="338">
          <cell r="A338" t="str">
            <v>COMPREV CFI - PRUDENCIAL</v>
          </cell>
          <cell r="D338">
            <v>1</v>
          </cell>
        </row>
        <row r="339">
          <cell r="A339" t="str">
            <v>BANCO PORTO REAL DE INVEST.S.A - PRUDENCIAL</v>
          </cell>
          <cell r="D339">
            <v>1</v>
          </cell>
        </row>
        <row r="340">
          <cell r="A340" t="str">
            <v>PROTOTYPE IP - PRUDENCIAL</v>
          </cell>
          <cell r="D340">
            <v>0.25</v>
          </cell>
        </row>
        <row r="341">
          <cell r="A341" t="str">
            <v>BIGCASH SCD - PRUDENCIAL</v>
          </cell>
          <cell r="D341">
            <v>1</v>
          </cell>
        </row>
        <row r="342">
          <cell r="A342" t="str">
            <v>J17 SCD - PRUDENCIAL</v>
          </cell>
          <cell r="D342">
            <v>1</v>
          </cell>
        </row>
        <row r="343">
          <cell r="A343" t="str">
            <v>FRENTE CC - PRUDENCIAL</v>
          </cell>
          <cell r="D343">
            <v>0.25</v>
          </cell>
        </row>
        <row r="344">
          <cell r="A344" t="str">
            <v>PAGARE IP - PRUDENCIAL</v>
          </cell>
          <cell r="D344">
            <v>0.75</v>
          </cell>
        </row>
        <row r="345">
          <cell r="A345" t="str">
            <v>F D GOLD DTVM LTDA - PRUDENCIAL</v>
          </cell>
          <cell r="D345">
            <v>0.25</v>
          </cell>
        </row>
        <row r="346">
          <cell r="A346" t="str">
            <v>IP4Y IP - PRUDENCIAL</v>
          </cell>
          <cell r="D346">
            <v>1</v>
          </cell>
        </row>
        <row r="347">
          <cell r="A347" t="str">
            <v>TRADERS DTVM - PRUDENCIAL</v>
          </cell>
          <cell r="D347">
            <v>1</v>
          </cell>
        </row>
        <row r="348">
          <cell r="A348" t="str">
            <v>COINVALORES - PRUDENCIAL</v>
          </cell>
          <cell r="D348">
            <v>1</v>
          </cell>
        </row>
        <row r="349">
          <cell r="A349" t="str">
            <v>BPY CCTVM - PRUDENCIAL</v>
          </cell>
          <cell r="D349">
            <v>0.25</v>
          </cell>
        </row>
        <row r="350">
          <cell r="A350" t="str">
            <v>SER FINANCE SCD - PRUDENCIAL</v>
          </cell>
          <cell r="D350">
            <v>1</v>
          </cell>
        </row>
        <row r="351">
          <cell r="A351" t="str">
            <v>PARTNERBANK IP - PRUDENCIAL</v>
          </cell>
          <cell r="D351">
            <v>0.75</v>
          </cell>
        </row>
        <row r="352">
          <cell r="A352" t="str">
            <v>COBANSA CH S.A. - PRUDENCIAL</v>
          </cell>
          <cell r="D352">
            <v>0.5</v>
          </cell>
        </row>
        <row r="353">
          <cell r="A353" t="str">
            <v>BROKER BRASIL CC LTDA. - PRUDENCIAL</v>
          </cell>
          <cell r="D353">
            <v>0.75</v>
          </cell>
        </row>
        <row r="354">
          <cell r="A354" t="str">
            <v>WNT CAPITAL DTVM - PRUDENCIAL</v>
          </cell>
          <cell r="D354">
            <v>1</v>
          </cell>
        </row>
        <row r="355">
          <cell r="A355" t="str">
            <v>ASPECIR SCMEPP LTDA. - PRUDENCIAL</v>
          </cell>
          <cell r="D355">
            <v>1</v>
          </cell>
        </row>
        <row r="356">
          <cell r="A356" t="str">
            <v>CDC SCD - PRUDENCIAL</v>
          </cell>
          <cell r="D356">
            <v>0.75</v>
          </cell>
        </row>
        <row r="357">
          <cell r="A357" t="str">
            <v>SENSO CCVM S.A. - PRUDENCIAL</v>
          </cell>
          <cell r="D357">
            <v>0.25</v>
          </cell>
        </row>
        <row r="358">
          <cell r="A358" t="str">
            <v>FACILITA IP - PRUDENCIAL</v>
          </cell>
          <cell r="D358">
            <v>0.25</v>
          </cell>
        </row>
        <row r="359">
          <cell r="A359" t="str">
            <v>BNK DIGITAL SCD - PRUDENCIAL</v>
          </cell>
          <cell r="D359">
            <v>0.75</v>
          </cell>
        </row>
        <row r="360">
          <cell r="A360" t="str">
            <v>AG. FOMENTO ESTADO DE RORAIMA - PRUDENCIAL</v>
          </cell>
          <cell r="D360">
            <v>1</v>
          </cell>
        </row>
        <row r="361">
          <cell r="A361" t="str">
            <v>VIA CAPITAL SCD - PRUDENCIAL</v>
          </cell>
          <cell r="D361">
            <v>0.75</v>
          </cell>
        </row>
        <row r="362">
          <cell r="A362" t="str">
            <v>GLOBAL EXCHANGE CC - PRUDENCIAL</v>
          </cell>
          <cell r="D362">
            <v>0.75</v>
          </cell>
        </row>
        <row r="363">
          <cell r="A363" t="str">
            <v>SOCIAL BANK BANCO MULTIPLO - PRUDENCIAL</v>
          </cell>
          <cell r="D363">
            <v>1</v>
          </cell>
        </row>
        <row r="364">
          <cell r="A364" t="str">
            <v>HEDGE INVESTMENTS - PRUDENCIAL</v>
          </cell>
          <cell r="D364">
            <v>0.75</v>
          </cell>
        </row>
        <row r="365">
          <cell r="A365" t="str">
            <v>INTEGRAL ACCESS DTVM - PRUDENCIAL</v>
          </cell>
          <cell r="D365">
            <v>0.75</v>
          </cell>
        </row>
        <row r="366">
          <cell r="A366" t="str">
            <v>SISPAY IP - PRUDENCIAL</v>
          </cell>
          <cell r="D366">
            <v>0.75</v>
          </cell>
        </row>
        <row r="367">
          <cell r="A367" t="str">
            <v>Z1 INSTITUIÇÃO DE PAGAMENTO - PRUDENCIAL</v>
          </cell>
          <cell r="D367">
            <v>0.25</v>
          </cell>
        </row>
        <row r="368">
          <cell r="A368" t="str">
            <v>UNAVANTI SCD - PRUDENCIAL</v>
          </cell>
          <cell r="D368">
            <v>0.75</v>
          </cell>
        </row>
        <row r="369">
          <cell r="A369" t="str">
            <v>BONUSPAGO SCD - PRUDENCIAL</v>
          </cell>
          <cell r="D369">
            <v>1</v>
          </cell>
        </row>
        <row r="370">
          <cell r="A370" t="str">
            <v>AMARIL FRANKLIN CTV LTDA - PRUDENCIAL</v>
          </cell>
          <cell r="D370">
            <v>0.75</v>
          </cell>
        </row>
        <row r="371">
          <cell r="A371" t="str">
            <v>OZ CC - PRUDENCIAL</v>
          </cell>
          <cell r="D371">
            <v>0.25</v>
          </cell>
        </row>
        <row r="372">
          <cell r="A372" t="str">
            <v>FAMILIA PAULISTA CI S.A. - PRUDENCIAL</v>
          </cell>
          <cell r="D372">
            <v>1</v>
          </cell>
        </row>
        <row r="373">
          <cell r="A373" t="str">
            <v>LISTO SCD - PRUDENCIAL</v>
          </cell>
          <cell r="D373">
            <v>0.75</v>
          </cell>
        </row>
        <row r="374">
          <cell r="A374" t="str">
            <v>FACEBOOK INSTITUICAO PAGAMENTO - PRUDENCIAL</v>
          </cell>
          <cell r="D374">
            <v>1</v>
          </cell>
        </row>
        <row r="375">
          <cell r="A375" t="str">
            <v>EXIM CC LTDA - PRUDENCIAL</v>
          </cell>
          <cell r="D375">
            <v>0.25</v>
          </cell>
        </row>
        <row r="376">
          <cell r="A376" t="str">
            <v>H.COMMCOR DTVM LTDA. - PRUDENCIAL</v>
          </cell>
          <cell r="D376">
            <v>0.75</v>
          </cell>
        </row>
        <row r="377">
          <cell r="A377" t="str">
            <v>OPPORTUNITY - PRUDENCIAL</v>
          </cell>
          <cell r="D377">
            <v>0.75</v>
          </cell>
        </row>
        <row r="378">
          <cell r="A378" t="str">
            <v>COLUNA S.A. DTVM - PRUDENCIAL</v>
          </cell>
          <cell r="D378">
            <v>0.5</v>
          </cell>
        </row>
        <row r="379">
          <cell r="A379" t="str">
            <v>INVEST CC - PRUDENCIAL</v>
          </cell>
          <cell r="D379">
            <v>0.5</v>
          </cell>
        </row>
        <row r="380">
          <cell r="A380" t="str">
            <v>FÊNIX DTVM - PRUDENCIAL</v>
          </cell>
          <cell r="D380">
            <v>0.25</v>
          </cell>
        </row>
        <row r="381">
          <cell r="A381" t="str">
            <v>LEND SCD - PRUDENCIAL</v>
          </cell>
          <cell r="D381">
            <v>0.75</v>
          </cell>
        </row>
        <row r="382">
          <cell r="A382" t="str">
            <v>AZIMUT BRASIL DTVM - PRUDENCIAL</v>
          </cell>
          <cell r="D382">
            <v>0.75</v>
          </cell>
        </row>
        <row r="383">
          <cell r="A383" t="str">
            <v>LINA IP - PRUDENCIAL</v>
          </cell>
          <cell r="D383">
            <v>0.5</v>
          </cell>
        </row>
        <row r="384">
          <cell r="A384" t="str">
            <v>RIO BRAVO INVESTIMENTOS DTVM - PRUDENCIAL</v>
          </cell>
          <cell r="D384">
            <v>0.5</v>
          </cell>
        </row>
        <row r="385">
          <cell r="A385" t="str">
            <v>SOLFÁCIL SCFI - PRUDENCIAL</v>
          </cell>
          <cell r="D385">
            <v>1</v>
          </cell>
        </row>
        <row r="386">
          <cell r="A386" t="str">
            <v>WEALTH HIGH GOVERNANCE DTVM - PRUDENCIAL</v>
          </cell>
          <cell r="D386">
            <v>0.75</v>
          </cell>
        </row>
        <row r="387">
          <cell r="A387" t="str">
            <v>CONECTA CC LTDA - PRUDENCIAL</v>
          </cell>
          <cell r="D387">
            <v>0.25</v>
          </cell>
        </row>
        <row r="388">
          <cell r="A388" t="str">
            <v>INTERCAM CC LTDA - PRUDENCIAL</v>
          </cell>
          <cell r="D388">
            <v>0.5</v>
          </cell>
        </row>
        <row r="389">
          <cell r="A389" t="str">
            <v>QUADRA SCD - PRUDENCIAL</v>
          </cell>
          <cell r="D389">
            <v>1</v>
          </cell>
        </row>
        <row r="390">
          <cell r="A390" t="str">
            <v>RJI CTVM - PRUDENCIAL</v>
          </cell>
          <cell r="D390">
            <v>0.25</v>
          </cell>
        </row>
        <row r="391">
          <cell r="A391" t="str">
            <v>SUDACRED SCD - PRUDENCIAL</v>
          </cell>
          <cell r="D391">
            <v>1</v>
          </cell>
        </row>
        <row r="392">
          <cell r="A392" t="str">
            <v>FIDD DTVM - PRUDENCIAL</v>
          </cell>
          <cell r="D392">
            <v>0.25</v>
          </cell>
        </row>
        <row r="393">
          <cell r="A393" t="str">
            <v>MONETARIE SCD - PRUDENCIAL</v>
          </cell>
          <cell r="D393">
            <v>1</v>
          </cell>
        </row>
        <row r="394">
          <cell r="A394" t="str">
            <v>ATF SCD - PRUDENCIAL</v>
          </cell>
          <cell r="D394">
            <v>1</v>
          </cell>
        </row>
        <row r="395">
          <cell r="A395" t="str">
            <v>BEETELLERPAY IP - PRUDENCIAL</v>
          </cell>
          <cell r="D395">
            <v>1</v>
          </cell>
        </row>
        <row r="396">
          <cell r="A396" t="str">
            <v>EWALLY IP - PRUDENCIAL</v>
          </cell>
          <cell r="D396">
            <v>0.25</v>
          </cell>
        </row>
        <row r="397">
          <cell r="A397" t="str">
            <v>ACTIVTRADES CCTVM - PRUDENCIAL</v>
          </cell>
          <cell r="D397">
            <v>1</v>
          </cell>
        </row>
        <row r="398">
          <cell r="A398" t="str">
            <v>UZZIPAY IP - PRUDENCIAL</v>
          </cell>
          <cell r="D398">
            <v>0.75</v>
          </cell>
        </row>
        <row r="399">
          <cell r="A399" t="str">
            <v>LABOR CC - PRUDENCIAL</v>
          </cell>
          <cell r="D399">
            <v>0.75</v>
          </cell>
        </row>
        <row r="400">
          <cell r="A400" t="str">
            <v>G5 SCD - PRUDENCIAL</v>
          </cell>
          <cell r="D400">
            <v>1</v>
          </cell>
        </row>
        <row r="401">
          <cell r="A401" t="str">
            <v>ONCRED SCD - PRUDENCIAL</v>
          </cell>
          <cell r="D401">
            <v>1</v>
          </cell>
        </row>
        <row r="402">
          <cell r="A402" t="str">
            <v>GET MONEY CC - PRUDENCIAL</v>
          </cell>
          <cell r="D402">
            <v>0.75</v>
          </cell>
        </row>
        <row r="403">
          <cell r="A403" t="str">
            <v>FOURTRADE COR. DE CAMBIO LTDA - PRUDENCIAL</v>
          </cell>
          <cell r="D403">
            <v>0.25</v>
          </cell>
        </row>
        <row r="404">
          <cell r="A404" t="str">
            <v>PAY BROKERS IP - PRUDENCIAL</v>
          </cell>
          <cell r="D404">
            <v>0.75</v>
          </cell>
        </row>
        <row r="405">
          <cell r="A405" t="str">
            <v>NIKOS DTVM - PRUDENCIAL</v>
          </cell>
          <cell r="D405">
            <v>1</v>
          </cell>
        </row>
        <row r="406">
          <cell r="A406" t="str">
            <v>ZM SCD PRUDENCIAL</v>
          </cell>
          <cell r="D406">
            <v>1</v>
          </cell>
        </row>
        <row r="407">
          <cell r="A407" t="str">
            <v>CC AÇORIANA LTDA. - PRUDENCIAL</v>
          </cell>
          <cell r="D407">
            <v>0.25</v>
          </cell>
        </row>
        <row r="408">
          <cell r="A408" t="str">
            <v>A27 IP - PRUDENCIAL</v>
          </cell>
          <cell r="D408">
            <v>1</v>
          </cell>
        </row>
        <row r="409">
          <cell r="A409" t="str">
            <v>LEV DTVM - PRUDENCIAL</v>
          </cell>
          <cell r="D409">
            <v>0.75</v>
          </cell>
        </row>
        <row r="410">
          <cell r="A410" t="str">
            <v>GALLERIA SCD - PRUDENCIAL</v>
          </cell>
          <cell r="D410">
            <v>0.75</v>
          </cell>
        </row>
        <row r="411">
          <cell r="A411" t="str">
            <v>BARU SCD - PRUDENCIAL</v>
          </cell>
          <cell r="D411">
            <v>1</v>
          </cell>
        </row>
        <row r="412">
          <cell r="A412" t="str">
            <v>MAGNUM SCD - PRUDENCIAL</v>
          </cell>
          <cell r="D412">
            <v>0.25</v>
          </cell>
        </row>
        <row r="413">
          <cell r="A413" t="str">
            <v>LEVYCAM CCV LTDA - PRUDENCIAL</v>
          </cell>
          <cell r="D413">
            <v>0.25</v>
          </cell>
        </row>
        <row r="414">
          <cell r="A414" t="str">
            <v>DAUX SCD - PRUDENCIAL</v>
          </cell>
          <cell r="D414">
            <v>0.75</v>
          </cell>
        </row>
        <row r="415">
          <cell r="A415" t="str">
            <v>SOCIALCRED S/A SCMEPP - PRUDENCIAL</v>
          </cell>
          <cell r="D415">
            <v>1</v>
          </cell>
        </row>
        <row r="416">
          <cell r="A416" t="str">
            <v>REMITLY CC LTDA. - PRUDENCIAL</v>
          </cell>
          <cell r="D416">
            <v>1</v>
          </cell>
        </row>
        <row r="417">
          <cell r="A417" t="str">
            <v>HSCM SCMEPP LTDA. - PRUDENCIAL</v>
          </cell>
          <cell r="D417">
            <v>1</v>
          </cell>
        </row>
        <row r="418">
          <cell r="A418" t="str">
            <v>CREDIFIT SCD - PRUDENCIAL</v>
          </cell>
          <cell r="D418">
            <v>0.75</v>
          </cell>
        </row>
        <row r="419">
          <cell r="A419" t="str">
            <v>BRX CC LTDA. - PRUDENCIAL</v>
          </cell>
          <cell r="D419">
            <v>0.25</v>
          </cell>
        </row>
        <row r="420">
          <cell r="A420" t="str">
            <v>MULTICRED SCD - PRUDENCIAL</v>
          </cell>
          <cell r="D420">
            <v>1</v>
          </cell>
        </row>
        <row r="421">
          <cell r="A421" t="str">
            <v>WOOVI IP - PRUDENCIAL</v>
          </cell>
          <cell r="D421">
            <v>1</v>
          </cell>
        </row>
        <row r="422">
          <cell r="A422" t="str">
            <v>SCB CRÉDITO SCMEPP - PRUDENCIAL</v>
          </cell>
          <cell r="D422">
            <v>0.75</v>
          </cell>
        </row>
        <row r="423">
          <cell r="A423" t="str">
            <v>DUFRIO CFI - PRUDENCIAL</v>
          </cell>
          <cell r="D423">
            <v>1</v>
          </cell>
        </row>
        <row r="424">
          <cell r="A424" t="str">
            <v>GERU SCD - PRUDENCIAL</v>
          </cell>
          <cell r="D424">
            <v>1</v>
          </cell>
        </row>
        <row r="425">
          <cell r="A425" t="str">
            <v>RAPIDIUM SCMEPP - PRUDENCIAL</v>
          </cell>
          <cell r="D425">
            <v>1</v>
          </cell>
        </row>
        <row r="426">
          <cell r="A426" t="str">
            <v>UP.P SEP - PRUDENCIAL</v>
          </cell>
          <cell r="D426">
            <v>1</v>
          </cell>
        </row>
        <row r="427">
          <cell r="A427" t="str">
            <v>CONPAY IP - PRUDENCIAL</v>
          </cell>
          <cell r="D427">
            <v>0.75</v>
          </cell>
        </row>
        <row r="428">
          <cell r="A428" t="str">
            <v>HR DIGITAL SCD - PRUDENCIAL</v>
          </cell>
          <cell r="D428">
            <v>1</v>
          </cell>
        </row>
        <row r="429">
          <cell r="A429" t="str">
            <v>TURCAMBIO CC LTDA. - PRUDENCIAL</v>
          </cell>
          <cell r="D429">
            <v>0.75</v>
          </cell>
        </row>
        <row r="430">
          <cell r="A430" t="str">
            <v>PENTAGONO S/A DTVM - PRUDENCIAL</v>
          </cell>
          <cell r="D430">
            <v>0.5</v>
          </cell>
        </row>
        <row r="431">
          <cell r="A431" t="str">
            <v>MT IP - PRUDENCIAL</v>
          </cell>
          <cell r="D431">
            <v>0.75</v>
          </cell>
        </row>
        <row r="432">
          <cell r="A432" t="str">
            <v>APROMS NET IP - PRUDENCIAL</v>
          </cell>
          <cell r="D432">
            <v>1</v>
          </cell>
        </row>
        <row r="433">
          <cell r="A433" t="str">
            <v>SAYGO CC - PRUDENCIAL</v>
          </cell>
          <cell r="D433">
            <v>0.25</v>
          </cell>
        </row>
        <row r="434">
          <cell r="A434" t="str">
            <v>MONOPÓLIO CC - PRUDENCIAL</v>
          </cell>
          <cell r="D434">
            <v>0.5</v>
          </cell>
        </row>
        <row r="435">
          <cell r="A435" t="str">
            <v>MAG IP - PRUDENCIAL</v>
          </cell>
          <cell r="D435">
            <v>0.25</v>
          </cell>
        </row>
        <row r="436">
          <cell r="A436" t="str">
            <v>INTEGRAÇÃO DE CRÉDITO E COBRANÇA SCD - PRUDENCIAL</v>
          </cell>
          <cell r="D436">
            <v>1</v>
          </cell>
        </row>
        <row r="437">
          <cell r="A437" t="str">
            <v>LIMINE TRUST DTVM - PRUDENCIAL</v>
          </cell>
          <cell r="D437">
            <v>0.75</v>
          </cell>
        </row>
        <row r="438">
          <cell r="A438" t="str">
            <v>DGBK CREDIT SCD - PRUDENCIAL</v>
          </cell>
          <cell r="D438">
            <v>1</v>
          </cell>
        </row>
        <row r="439">
          <cell r="A439" t="str">
            <v>FONTECRED SCD - PRUDENCIAL</v>
          </cell>
          <cell r="D439">
            <v>0.75</v>
          </cell>
        </row>
        <row r="440">
          <cell r="A440" t="str">
            <v>TROCKA CC - PRUDENCIAL</v>
          </cell>
          <cell r="D440">
            <v>0.25</v>
          </cell>
        </row>
        <row r="441">
          <cell r="A441" t="str">
            <v>FINVEST DTVM - PRUDENCIAL</v>
          </cell>
          <cell r="D441">
            <v>0.75</v>
          </cell>
        </row>
        <row r="442">
          <cell r="A442" t="str">
            <v>EXECUTIVE CC LTDA. - PRUDENCIAL</v>
          </cell>
          <cell r="D442">
            <v>0.5</v>
          </cell>
        </row>
        <row r="443">
          <cell r="A443" t="str">
            <v>VUON SCD - PRUDENCIAL</v>
          </cell>
          <cell r="D443">
            <v>1</v>
          </cell>
        </row>
        <row r="444">
          <cell r="A444" t="str">
            <v>ARC CORRETORA CAMBIO S.A. - PRUDENCIAL</v>
          </cell>
          <cell r="D444">
            <v>0.75</v>
          </cell>
        </row>
        <row r="445">
          <cell r="A445" t="str">
            <v>INTRA INVESTIMENTOS DTVM - PRUDENCIAL</v>
          </cell>
          <cell r="D445">
            <v>0.5</v>
          </cell>
        </row>
        <row r="446">
          <cell r="A446" t="str">
            <v>EFX CC LTDA. - PRUDENCIAL</v>
          </cell>
          <cell r="D446">
            <v>0.25</v>
          </cell>
        </row>
        <row r="447">
          <cell r="A447" t="str">
            <v>BR-CAPITAL DTVM S.A. - PRUDENCIAL</v>
          </cell>
          <cell r="D447">
            <v>0.75</v>
          </cell>
        </row>
        <row r="448">
          <cell r="A448" t="str">
            <v>INICIADOR IP - PRUDENCIAL</v>
          </cell>
          <cell r="D448">
            <v>1</v>
          </cell>
        </row>
        <row r="449">
          <cell r="A449" t="str">
            <v>MONERY IP - PRUDENCIAL</v>
          </cell>
          <cell r="D449">
            <v>1</v>
          </cell>
        </row>
        <row r="450">
          <cell r="A450" t="str">
            <v>N26 SCD - PRUDENCIAL</v>
          </cell>
          <cell r="D450">
            <v>0.5</v>
          </cell>
        </row>
        <row r="451">
          <cell r="A451" t="str">
            <v>IUPI IP - PRUDENCIAL</v>
          </cell>
          <cell r="D451">
            <v>1</v>
          </cell>
        </row>
        <row r="452">
          <cell r="A452" t="str">
            <v>DAPPER SCD - PRUDENCIAL</v>
          </cell>
          <cell r="D452">
            <v>1</v>
          </cell>
        </row>
        <row r="453">
          <cell r="A453" t="str">
            <v>PERCAPITAL SCD - PRUDENCIAL</v>
          </cell>
          <cell r="D453">
            <v>1</v>
          </cell>
        </row>
        <row r="454">
          <cell r="A454" t="str">
            <v>MOTTU SCD - PRUDENCIAL</v>
          </cell>
          <cell r="D454">
            <v>1</v>
          </cell>
        </row>
        <row r="455">
          <cell r="A455" t="str">
            <v>VERT DTVM - PRUDENCIAL</v>
          </cell>
          <cell r="D455">
            <v>1</v>
          </cell>
        </row>
        <row r="456">
          <cell r="A456" t="str">
            <v>BANSUR JM SCD - PRUDENCIAL</v>
          </cell>
          <cell r="D456">
            <v>1</v>
          </cell>
        </row>
        <row r="457">
          <cell r="A457" t="str">
            <v>ATICCA SCD PRUDENCIAL</v>
          </cell>
          <cell r="D457">
            <v>1</v>
          </cell>
        </row>
        <row r="458">
          <cell r="A458" t="str">
            <v>DOURADA CORRETORA - PRUDENCIAL</v>
          </cell>
          <cell r="D458">
            <v>0.25</v>
          </cell>
        </row>
        <row r="459">
          <cell r="A459" t="str">
            <v>BAMAQ CAPITAL SCD - PRUDENCIAL</v>
          </cell>
          <cell r="D459">
            <v>1</v>
          </cell>
        </row>
        <row r="460">
          <cell r="A460" t="str">
            <v>MUEVY IP - PRUDENCIAL</v>
          </cell>
          <cell r="D460">
            <v>1</v>
          </cell>
        </row>
        <row r="461">
          <cell r="A461" t="str">
            <v>CAROL DTVM LTDA. - PRUDENCIAL</v>
          </cell>
          <cell r="D461">
            <v>1</v>
          </cell>
        </row>
        <row r="462">
          <cell r="A462" t="str">
            <v>ZIPDIN SCD - PRUDENCIAL</v>
          </cell>
          <cell r="D462">
            <v>0.5</v>
          </cell>
        </row>
        <row r="463">
          <cell r="A463" t="str">
            <v>NUMBRS SCD - PRUDENCIAL</v>
          </cell>
          <cell r="D463">
            <v>1</v>
          </cell>
        </row>
        <row r="464">
          <cell r="A464" t="str">
            <v>CV INVESTIMENTOS DTVM - PRUDENCIAL</v>
          </cell>
          <cell r="D464">
            <v>1</v>
          </cell>
        </row>
        <row r="465">
          <cell r="A465" t="str">
            <v>BCP SECURITIES DTVM - PRUDENCIAL</v>
          </cell>
          <cell r="D465">
            <v>1</v>
          </cell>
        </row>
        <row r="466">
          <cell r="A466" t="str">
            <v>DASCAM CC LTDA - PRUDENCIAL</v>
          </cell>
          <cell r="D466">
            <v>0.5</v>
          </cell>
        </row>
        <row r="467">
          <cell r="A467" t="str">
            <v>PALMA SCD - PRUDENCIAL</v>
          </cell>
          <cell r="D467">
            <v>1</v>
          </cell>
        </row>
        <row r="468">
          <cell r="A468" t="str">
            <v>INCO SEP - PRUDENCIAL</v>
          </cell>
          <cell r="D468">
            <v>1</v>
          </cell>
        </row>
        <row r="469">
          <cell r="A469" t="str">
            <v>FATURACRED SCD - PRUDENCIAL</v>
          </cell>
          <cell r="D469">
            <v>1</v>
          </cell>
        </row>
        <row r="470">
          <cell r="A470" t="str">
            <v>PEAK SEP - PRUDENCIAL</v>
          </cell>
          <cell r="D470">
            <v>1</v>
          </cell>
        </row>
        <row r="471">
          <cell r="A471" t="str">
            <v>DATANOMIK BRASIL IP - PRUDENCIAL</v>
          </cell>
          <cell r="D471">
            <v>1</v>
          </cell>
        </row>
        <row r="472">
          <cell r="A472" t="str">
            <v>UNICRED DTVM - PRUDENCIAL</v>
          </cell>
          <cell r="D472">
            <v>1</v>
          </cell>
        </row>
        <row r="473">
          <cell r="A473" t="str">
            <v>P R DO BRASIL IP - PRUDENCIAL</v>
          </cell>
          <cell r="D473">
            <v>1</v>
          </cell>
        </row>
        <row r="474">
          <cell r="A474" t="str">
            <v>GLOBAL SCM LTDA - PRUDENCIAL</v>
          </cell>
          <cell r="D474">
            <v>1</v>
          </cell>
        </row>
        <row r="475">
          <cell r="A475" t="str">
            <v>VBS SCD - PRUDENCIAL</v>
          </cell>
          <cell r="D475">
            <v>1</v>
          </cell>
        </row>
        <row r="476">
          <cell r="A476" t="str">
            <v>BELVO IP - PRUDENCIAL</v>
          </cell>
          <cell r="D476">
            <v>0.75</v>
          </cell>
        </row>
        <row r="477">
          <cell r="A477" t="str">
            <v>SOCRED S.A. SCM - PRUDENCIAL</v>
          </cell>
          <cell r="D477">
            <v>1</v>
          </cell>
        </row>
        <row r="478">
          <cell r="A478" t="str">
            <v>SQUID SCD - PRUDENCIAL</v>
          </cell>
          <cell r="D478">
            <v>1</v>
          </cell>
        </row>
        <row r="479">
          <cell r="A479" t="str">
            <v>MÉRITO DTVM - PRUDENCIAL</v>
          </cell>
          <cell r="D479">
            <v>0.75</v>
          </cell>
        </row>
        <row r="480">
          <cell r="A480" t="str">
            <v>GDC PART SERV FIDUC DTVM LTDA - PRUDENCIAL</v>
          </cell>
          <cell r="D480">
            <v>0.75</v>
          </cell>
        </row>
        <row r="481">
          <cell r="A481" t="str">
            <v>GLOBAL INV SERVICES DTVM - PRUDENCIAL</v>
          </cell>
          <cell r="D481">
            <v>1</v>
          </cell>
        </row>
        <row r="482">
          <cell r="A482" t="str">
            <v>IDEA MAKER IP - PRUDENCIAL</v>
          </cell>
          <cell r="D482">
            <v>1</v>
          </cell>
        </row>
        <row r="483">
          <cell r="A483" t="str">
            <v>ALL IN CRED SCD - PRUDENCIAL</v>
          </cell>
          <cell r="D483">
            <v>0.25</v>
          </cell>
        </row>
        <row r="484">
          <cell r="A484" t="str">
            <v>CREDPAR SCD - PRUDENCIAL</v>
          </cell>
          <cell r="D484">
            <v>0.75</v>
          </cell>
        </row>
        <row r="485">
          <cell r="A485" t="str">
            <v>BRCONDOS SCD - PRUDENCIAL</v>
          </cell>
          <cell r="D485">
            <v>1</v>
          </cell>
        </row>
        <row r="486">
          <cell r="A486" t="str">
            <v>BFC SCD - PRUDENCIAL</v>
          </cell>
          <cell r="D486">
            <v>1</v>
          </cell>
        </row>
        <row r="487">
          <cell r="A487" t="str">
            <v>SETHI SCD - PRUDENCIAL</v>
          </cell>
          <cell r="D487">
            <v>1</v>
          </cell>
        </row>
        <row r="488">
          <cell r="A488" t="str">
            <v>LIQUIDO IP - PRUDENCIAL</v>
          </cell>
          <cell r="D488">
            <v>1</v>
          </cell>
        </row>
        <row r="489">
          <cell r="A489" t="str">
            <v>MOMENTO DTVM LTDA. - PRUDENCIAL</v>
          </cell>
          <cell r="D489">
            <v>1</v>
          </cell>
        </row>
        <row r="490">
          <cell r="A490" t="str">
            <v>HBI SCD - PRUDENCIAL</v>
          </cell>
          <cell r="D490">
            <v>1</v>
          </cell>
        </row>
        <row r="491">
          <cell r="A491" t="str">
            <v>E.SIGA SCD - PRUDENCIAL</v>
          </cell>
          <cell r="D491">
            <v>1</v>
          </cell>
        </row>
        <row r="492">
          <cell r="A492" t="str">
            <v>CAMBIONET CC LTDA - PRUDENCIAL</v>
          </cell>
          <cell r="D492">
            <v>0.5</v>
          </cell>
        </row>
        <row r="493">
          <cell r="A493" t="str">
            <v>FREEX CC - PRUDENCIAL</v>
          </cell>
          <cell r="D493">
            <v>1</v>
          </cell>
        </row>
        <row r="494">
          <cell r="A494" t="str">
            <v>NAGRO SCD - PRUDENCIAL</v>
          </cell>
          <cell r="D494">
            <v>1</v>
          </cell>
        </row>
        <row r="495">
          <cell r="A495" t="str">
            <v>A55 SCD - PRUDENCIAL</v>
          </cell>
          <cell r="D495">
            <v>1</v>
          </cell>
        </row>
        <row r="496">
          <cell r="A496" t="str">
            <v>GOOD CC - PRUDENCIAL</v>
          </cell>
          <cell r="D496">
            <v>0.75</v>
          </cell>
        </row>
        <row r="497">
          <cell r="A497" t="str">
            <v>CASA CREDITO S.A. SCM - PRUDENCIAL</v>
          </cell>
          <cell r="D497">
            <v>1</v>
          </cell>
        </row>
        <row r="498">
          <cell r="A498" t="str">
            <v>CATÁLISE DTVM PRUDENCIAL</v>
          </cell>
          <cell r="D498">
            <v>0.75</v>
          </cell>
        </row>
        <row r="499">
          <cell r="A499" t="str">
            <v>EUROINVEST S/A CCTVM - PRUDENCIAL</v>
          </cell>
          <cell r="D499">
            <v>1</v>
          </cell>
        </row>
        <row r="500">
          <cell r="A500" t="str">
            <v>NEXOOS SEP - PRUDENCIAL</v>
          </cell>
          <cell r="D500">
            <v>0.75</v>
          </cell>
        </row>
        <row r="501">
          <cell r="A501" t="str">
            <v>NUMATUR CC LTDA - PRUDENCIAL</v>
          </cell>
          <cell r="D501">
            <v>1</v>
          </cell>
        </row>
        <row r="502">
          <cell r="A502" t="str">
            <v>CREDBRASIL - SCMEPP LTDA - PRUDENCIAL</v>
          </cell>
          <cell r="D502">
            <v>1</v>
          </cell>
        </row>
        <row r="503">
          <cell r="A503" t="str">
            <v>BRCARD SCD - PRUDENCIAL</v>
          </cell>
          <cell r="D503">
            <v>1</v>
          </cell>
        </row>
        <row r="504">
          <cell r="A504" t="str">
            <v>HR SCMEPP LTDA. - PRUDENCIAL</v>
          </cell>
          <cell r="D504">
            <v>1</v>
          </cell>
        </row>
        <row r="505">
          <cell r="A505" t="str">
            <v>FINLEV SCD PRUDENCIAL</v>
          </cell>
          <cell r="D505">
            <v>1</v>
          </cell>
        </row>
        <row r="506">
          <cell r="A506" t="str">
            <v>PACIFIC INVEST DTVM LTDA - PRUDENCIAL</v>
          </cell>
          <cell r="D506">
            <v>0.5</v>
          </cell>
        </row>
        <row r="507">
          <cell r="A507" t="str">
            <v>GIRO SCD - PRUDENCIAL</v>
          </cell>
          <cell r="D507">
            <v>1</v>
          </cell>
        </row>
        <row r="508">
          <cell r="A508" t="str">
            <v>AVS CORRETORA DE CÂMBIO LTDA - PRUDENCIAL</v>
          </cell>
          <cell r="D508">
            <v>0.75</v>
          </cell>
        </row>
        <row r="509">
          <cell r="A509" t="str">
            <v>BEZZ SCD - PRUDENCIAL</v>
          </cell>
          <cell r="D509">
            <v>1</v>
          </cell>
        </row>
        <row r="510">
          <cell r="A510" t="str">
            <v>CUMBUCA IP - PRUDENCIAL</v>
          </cell>
          <cell r="D510">
            <v>1</v>
          </cell>
        </row>
        <row r="511">
          <cell r="A511" t="str">
            <v>TRANSFERO IP - PRUDENCIAL</v>
          </cell>
          <cell r="D511">
            <v>0.25</v>
          </cell>
        </row>
        <row r="512">
          <cell r="A512" t="str">
            <v>VNK SCMEPP - PRUDENCIAL</v>
          </cell>
          <cell r="D512">
            <v>1</v>
          </cell>
        </row>
        <row r="513">
          <cell r="A513" t="str">
            <v>MARMARIS CC - PRUDENCIAL</v>
          </cell>
          <cell r="D513">
            <v>0.5</v>
          </cell>
        </row>
        <row r="514">
          <cell r="A514" t="str">
            <v>FARMTECH SCD - PRUDENCIAL</v>
          </cell>
          <cell r="D514">
            <v>1</v>
          </cell>
        </row>
        <row r="515">
          <cell r="A515" t="str">
            <v>CORPORE SCD - PRUDENCIAL</v>
          </cell>
          <cell r="D515">
            <v>1</v>
          </cell>
        </row>
        <row r="516">
          <cell r="A516" t="str">
            <v>SADOC CC - PRUDENCIAL</v>
          </cell>
          <cell r="D516">
            <v>0.75</v>
          </cell>
        </row>
        <row r="517">
          <cell r="A517" t="str">
            <v>EMCASH SERVICOS FINANCEIROS SEP - PRUDENCIAL</v>
          </cell>
          <cell r="D517">
            <v>1</v>
          </cell>
        </row>
        <row r="518">
          <cell r="A518" t="str">
            <v>VIPS CC LTDA. - PRUDENCIAL</v>
          </cell>
          <cell r="D518">
            <v>0.5</v>
          </cell>
        </row>
        <row r="519">
          <cell r="A519" t="str">
            <v>QUEROCRED SCD - PRUDENCIAL</v>
          </cell>
          <cell r="D519">
            <v>1</v>
          </cell>
        </row>
        <row r="520">
          <cell r="A520" t="str">
            <v>ATLANTA SCM LTDA - PRUDENCIAL</v>
          </cell>
          <cell r="D520">
            <v>1</v>
          </cell>
        </row>
        <row r="521">
          <cell r="A521" t="str">
            <v>INSTITUIÇÃO DE PAGAMENTOS MAPS - PRUDENCIAL</v>
          </cell>
          <cell r="D521">
            <v>0.25</v>
          </cell>
        </row>
        <row r="522">
          <cell r="A522" t="str">
            <v>SINGRATUR CC LTDA. - PRUDENCIAL</v>
          </cell>
          <cell r="D522">
            <v>0.75</v>
          </cell>
        </row>
        <row r="523">
          <cell r="A523" t="str">
            <v>GREEN ALTERNATIVE INVESTMENTS DTVM - PRUDENCIAL</v>
          </cell>
          <cell r="D523">
            <v>0.75</v>
          </cell>
        </row>
        <row r="524">
          <cell r="A524" t="str">
            <v>EFEX IP - PRUDENCIAL</v>
          </cell>
          <cell r="D524">
            <v>1</v>
          </cell>
        </row>
        <row r="525">
          <cell r="A525" t="str">
            <v>BIZCAPITAL SCD - PRUDENCIAL</v>
          </cell>
          <cell r="D525">
            <v>1</v>
          </cell>
        </row>
        <row r="526">
          <cell r="A526" t="str">
            <v>LAMARA SCD - PRUDENCIAL</v>
          </cell>
          <cell r="D526">
            <v>1</v>
          </cell>
        </row>
        <row r="527">
          <cell r="A527" t="str">
            <v>FIDEM SCD - PRUDENCIAL</v>
          </cell>
          <cell r="D527">
            <v>1</v>
          </cell>
        </row>
        <row r="528">
          <cell r="A528" t="str">
            <v>PROVU SCD - PRUDENCIAL</v>
          </cell>
          <cell r="D528">
            <v>1</v>
          </cell>
        </row>
        <row r="529">
          <cell r="A529" t="str">
            <v>CREDILON SCM REG. LONDRINA LTD - PRUDENCIAL</v>
          </cell>
          <cell r="D529">
            <v>1</v>
          </cell>
        </row>
        <row r="530">
          <cell r="A530" t="str">
            <v>DEBONI DTVM LTDA - PRUDENCIAL</v>
          </cell>
          <cell r="D530">
            <v>0.25</v>
          </cell>
        </row>
        <row r="531">
          <cell r="A531" t="str">
            <v>EASY MONEY SCD - PRUDENCIAL</v>
          </cell>
          <cell r="D531">
            <v>1</v>
          </cell>
        </row>
        <row r="532">
          <cell r="A532" t="str">
            <v>OMIE IP - PRUDENCIAL</v>
          </cell>
          <cell r="D532">
            <v>1</v>
          </cell>
        </row>
        <row r="533">
          <cell r="A533" t="str">
            <v>LUMINA CC - PRUDENCIAL</v>
          </cell>
          <cell r="D533">
            <v>0.75</v>
          </cell>
        </row>
        <row r="534">
          <cell r="A534" t="str">
            <v>NIXFIN SCD - PRUDENCIAL</v>
          </cell>
          <cell r="D534">
            <v>1</v>
          </cell>
        </row>
        <row r="535">
          <cell r="A535" t="str">
            <v>LASTRO RDV DTVM LTDA - PRUDENCIAL</v>
          </cell>
          <cell r="D535">
            <v>0.25</v>
          </cell>
        </row>
        <row r="536">
          <cell r="A536" t="str">
            <v>FINAZO SCD - PRUDENCIAL</v>
          </cell>
          <cell r="D536">
            <v>1</v>
          </cell>
        </row>
        <row r="537">
          <cell r="A537" t="str">
            <v>OPPENS SEP - PRUDENCIAL</v>
          </cell>
          <cell r="D537">
            <v>1</v>
          </cell>
        </row>
        <row r="538">
          <cell r="A538" t="str">
            <v>FIDO SEP - PRUDENCIAL</v>
          </cell>
          <cell r="D538" t="e">
            <v>#N/A</v>
          </cell>
        </row>
        <row r="539">
          <cell r="A539" t="str">
            <v>CORREPARTI CC LTDA - PRUDENCIAL</v>
          </cell>
          <cell r="D539">
            <v>0.5</v>
          </cell>
        </row>
        <row r="540">
          <cell r="A540" t="str">
            <v>ÓPERA SCD - PRUDENCIAL</v>
          </cell>
          <cell r="D540">
            <v>1</v>
          </cell>
        </row>
        <row r="541">
          <cell r="A541" t="str">
            <v>KIKAI SCD PRUDENCIAL</v>
          </cell>
          <cell r="D541">
            <v>1</v>
          </cell>
        </row>
        <row r="542">
          <cell r="A542" t="str">
            <v>FATORI SCMEPP - PRUDENCIAL</v>
          </cell>
          <cell r="D542">
            <v>1</v>
          </cell>
        </row>
        <row r="543">
          <cell r="A543" t="str">
            <v>DELEND IP - PRUDENCIAL</v>
          </cell>
          <cell r="D543">
            <v>1</v>
          </cell>
        </row>
        <row r="544">
          <cell r="A544" t="str">
            <v>PRONANCE SCC - PRUDENCIAL</v>
          </cell>
          <cell r="D544">
            <v>1</v>
          </cell>
        </row>
        <row r="545">
          <cell r="A545" t="str">
            <v>KLAVI IP - PRUDENCIAL</v>
          </cell>
          <cell r="D545">
            <v>1</v>
          </cell>
        </row>
        <row r="546">
          <cell r="A546" t="str">
            <v>CF GROUP SEP - PRUDENCIAL</v>
          </cell>
          <cell r="D546">
            <v>1</v>
          </cell>
        </row>
        <row r="547">
          <cell r="A547" t="str">
            <v>ONNIX CC LTDA. - PRUDENCIAL</v>
          </cell>
          <cell r="D547">
            <v>0.5</v>
          </cell>
        </row>
        <row r="548">
          <cell r="A548" t="str">
            <v>NGO ASSOCIADOS CC LTDA. - PRUDENCIAL</v>
          </cell>
          <cell r="D548">
            <v>0.5</v>
          </cell>
        </row>
        <row r="549">
          <cell r="A549" t="str">
            <v>CONSEGTUR CC - PRUDENCIAL</v>
          </cell>
          <cell r="D549">
            <v>0.5</v>
          </cell>
        </row>
        <row r="550">
          <cell r="A550" t="str">
            <v>CRYSTAL BMC IP - PRUDENCIAL</v>
          </cell>
          <cell r="D550">
            <v>1</v>
          </cell>
        </row>
        <row r="551">
          <cell r="A551" t="str">
            <v>FIDUCIAL DTVM LTDA - PRUDENCIAL</v>
          </cell>
          <cell r="D551">
            <v>0.75</v>
          </cell>
        </row>
        <row r="552">
          <cell r="A552" t="str">
            <v>QORE DTVM LTDA - PRUDENCIAL</v>
          </cell>
          <cell r="D552">
            <v>1</v>
          </cell>
        </row>
        <row r="553">
          <cell r="A553" t="str">
            <v>ATUAL CC - PRUDENCIAL</v>
          </cell>
          <cell r="D553">
            <v>0.75</v>
          </cell>
        </row>
        <row r="554">
          <cell r="A554" t="str">
            <v>EBADIVAL - E BAGGIO DTVM LTDA - PRUDENCIAL</v>
          </cell>
          <cell r="D554">
            <v>1</v>
          </cell>
        </row>
        <row r="555">
          <cell r="A555" t="str">
            <v>AVIPAM CC LTDA. - PRUDENCIAL</v>
          </cell>
          <cell r="D555">
            <v>0.25</v>
          </cell>
        </row>
        <row r="556">
          <cell r="A556" t="str">
            <v>ICARO CC LTDA - PRUDENCIAL</v>
          </cell>
          <cell r="D556">
            <v>1</v>
          </cell>
        </row>
        <row r="557">
          <cell r="A557" t="str">
            <v>PINE - PRUDENCIAL</v>
          </cell>
          <cell r="D557">
            <v>0.25</v>
          </cell>
        </row>
        <row r="558">
          <cell r="A558" t="str">
            <v>BT CC - PRUDENCIAL</v>
          </cell>
          <cell r="D558">
            <v>0.25</v>
          </cell>
        </row>
        <row r="559">
          <cell r="A559" t="str">
            <v>HS FINANCEIRA - PRUDENCIAL</v>
          </cell>
          <cell r="D559">
            <v>0.75</v>
          </cell>
        </row>
        <row r="560">
          <cell r="A560" t="str">
            <v>TRUSTEE/BANVOX - PRUDENCIAL</v>
          </cell>
          <cell r="D560">
            <v>0.5</v>
          </cell>
        </row>
        <row r="561">
          <cell r="A561" t="str">
            <v>CONTA SIMPLES SCD - PRUDENCIAL</v>
          </cell>
          <cell r="D561">
            <v>0.5</v>
          </cell>
        </row>
        <row r="562">
          <cell r="A562" t="str">
            <v>PAGME IP - PRUDENCIAL</v>
          </cell>
          <cell r="D562">
            <v>1</v>
          </cell>
        </row>
        <row r="563">
          <cell r="A563" t="str">
            <v>PERSONAL SCD - PRUDENCIAL</v>
          </cell>
          <cell r="D563">
            <v>1</v>
          </cell>
        </row>
        <row r="564">
          <cell r="D564"/>
        </row>
        <row r="565">
          <cell r="D565"/>
        </row>
        <row r="566">
          <cell r="D566"/>
        </row>
        <row r="567">
          <cell r="D567"/>
        </row>
        <row r="568">
          <cell r="D568"/>
        </row>
        <row r="569">
          <cell r="D569"/>
        </row>
        <row r="570">
          <cell r="D570"/>
        </row>
        <row r="571">
          <cell r="D571"/>
        </row>
        <row r="572">
          <cell r="D572"/>
        </row>
        <row r="573">
          <cell r="D573"/>
        </row>
        <row r="574">
          <cell r="D574"/>
        </row>
        <row r="575">
          <cell r="D575"/>
        </row>
        <row r="576">
          <cell r="D576"/>
        </row>
        <row r="577">
          <cell r="D577"/>
        </row>
        <row r="578">
          <cell r="D578"/>
        </row>
        <row r="579">
          <cell r="D579"/>
        </row>
        <row r="580">
          <cell r="D580"/>
        </row>
        <row r="581">
          <cell r="D581"/>
        </row>
        <row r="582">
          <cell r="D582"/>
        </row>
        <row r="583">
          <cell r="D583"/>
        </row>
        <row r="584">
          <cell r="D584"/>
        </row>
        <row r="585">
          <cell r="D585"/>
        </row>
        <row r="586">
          <cell r="D586"/>
        </row>
        <row r="587">
          <cell r="D587"/>
        </row>
        <row r="588">
          <cell r="D588"/>
        </row>
        <row r="589">
          <cell r="D589"/>
        </row>
        <row r="590">
          <cell r="D590"/>
        </row>
        <row r="591">
          <cell r="D591"/>
        </row>
        <row r="592">
          <cell r="D592"/>
        </row>
        <row r="593">
          <cell r="D593"/>
        </row>
        <row r="594">
          <cell r="D594"/>
        </row>
        <row r="595">
          <cell r="D595"/>
        </row>
        <row r="596">
          <cell r="D596"/>
        </row>
        <row r="597">
          <cell r="D597"/>
        </row>
        <row r="598">
          <cell r="D598"/>
        </row>
        <row r="599">
          <cell r="D599"/>
        </row>
        <row r="600">
          <cell r="D600"/>
        </row>
        <row r="601">
          <cell r="D601"/>
        </row>
        <row r="602">
          <cell r="D602"/>
        </row>
        <row r="603">
          <cell r="D603"/>
        </row>
        <row r="604">
          <cell r="D604"/>
        </row>
        <row r="605">
          <cell r="D605"/>
        </row>
        <row r="606">
          <cell r="D606"/>
        </row>
        <row r="607">
          <cell r="D607"/>
        </row>
        <row r="608">
          <cell r="D608"/>
        </row>
        <row r="609">
          <cell r="D609"/>
        </row>
        <row r="610">
          <cell r="D610"/>
        </row>
        <row r="611">
          <cell r="D611"/>
        </row>
        <row r="612">
          <cell r="D612"/>
        </row>
        <row r="613">
          <cell r="D613"/>
        </row>
        <row r="614">
          <cell r="D614"/>
        </row>
        <row r="615">
          <cell r="D615"/>
        </row>
        <row r="616">
          <cell r="D616"/>
        </row>
        <row r="617">
          <cell r="D617"/>
        </row>
        <row r="618">
          <cell r="D618"/>
        </row>
        <row r="619">
          <cell r="D619"/>
        </row>
        <row r="620">
          <cell r="D620"/>
        </row>
        <row r="621">
          <cell r="D621"/>
        </row>
        <row r="622">
          <cell r="D622"/>
        </row>
        <row r="623">
          <cell r="D623"/>
        </row>
        <row r="624">
          <cell r="D624"/>
        </row>
        <row r="625">
          <cell r="D625"/>
        </row>
        <row r="626">
          <cell r="D626"/>
        </row>
        <row r="627">
          <cell r="D627"/>
        </row>
        <row r="628">
          <cell r="D628"/>
        </row>
        <row r="629">
          <cell r="D629"/>
        </row>
        <row r="630">
          <cell r="D630"/>
        </row>
        <row r="631">
          <cell r="D631"/>
        </row>
        <row r="632">
          <cell r="D632"/>
        </row>
        <row r="633">
          <cell r="D633"/>
        </row>
        <row r="634">
          <cell r="D634"/>
        </row>
        <row r="635">
          <cell r="D635"/>
        </row>
        <row r="636">
          <cell r="D636"/>
        </row>
        <row r="637">
          <cell r="D637"/>
        </row>
        <row r="638">
          <cell r="D638"/>
        </row>
        <row r="639">
          <cell r="D639"/>
        </row>
        <row r="640">
          <cell r="D640"/>
        </row>
        <row r="641">
          <cell r="D641"/>
        </row>
        <row r="642">
          <cell r="D642"/>
        </row>
        <row r="643">
          <cell r="D643"/>
        </row>
        <row r="644">
          <cell r="D644"/>
        </row>
        <row r="645">
          <cell r="D645"/>
        </row>
        <row r="646">
          <cell r="D646"/>
        </row>
        <row r="647">
          <cell r="D647"/>
        </row>
        <row r="648">
          <cell r="D648"/>
        </row>
        <row r="649">
          <cell r="D649"/>
        </row>
        <row r="650">
          <cell r="D650"/>
        </row>
        <row r="651">
          <cell r="D651"/>
        </row>
        <row r="652">
          <cell r="D652"/>
        </row>
        <row r="653">
          <cell r="D653"/>
        </row>
        <row r="654">
          <cell r="D654"/>
        </row>
        <row r="655">
          <cell r="D655"/>
        </row>
        <row r="656">
          <cell r="D656"/>
        </row>
        <row r="657">
          <cell r="D657"/>
        </row>
        <row r="658">
          <cell r="D658"/>
        </row>
        <row r="659">
          <cell r="D659"/>
        </row>
        <row r="660">
          <cell r="D660"/>
        </row>
        <row r="661">
          <cell r="D661"/>
        </row>
        <row r="662">
          <cell r="D662"/>
        </row>
        <row r="663">
          <cell r="D663"/>
        </row>
        <row r="664">
          <cell r="D664"/>
        </row>
        <row r="665">
          <cell r="D665"/>
        </row>
        <row r="666">
          <cell r="D666"/>
        </row>
        <row r="667">
          <cell r="D667"/>
        </row>
        <row r="668">
          <cell r="D668"/>
        </row>
        <row r="669">
          <cell r="D669"/>
        </row>
        <row r="670">
          <cell r="D670"/>
        </row>
        <row r="671">
          <cell r="D671"/>
        </row>
        <row r="672">
          <cell r="D672"/>
        </row>
        <row r="673">
          <cell r="D673"/>
        </row>
        <row r="674">
          <cell r="D674"/>
        </row>
        <row r="675">
          <cell r="D675"/>
        </row>
        <row r="676">
          <cell r="D676"/>
        </row>
        <row r="677">
          <cell r="D677"/>
        </row>
        <row r="678">
          <cell r="D678"/>
        </row>
        <row r="679">
          <cell r="D679"/>
        </row>
        <row r="680">
          <cell r="D680"/>
        </row>
        <row r="681">
          <cell r="D681"/>
        </row>
        <row r="682">
          <cell r="D682"/>
        </row>
        <row r="683">
          <cell r="D683"/>
        </row>
        <row r="684">
          <cell r="D684"/>
        </row>
        <row r="685">
          <cell r="D685"/>
        </row>
        <row r="686">
          <cell r="D686"/>
        </row>
        <row r="687">
          <cell r="D687"/>
        </row>
        <row r="688">
          <cell r="D688"/>
        </row>
        <row r="689">
          <cell r="D689"/>
        </row>
        <row r="690">
          <cell r="D690"/>
        </row>
        <row r="691">
          <cell r="D691"/>
        </row>
        <row r="692">
          <cell r="D692"/>
        </row>
        <row r="693">
          <cell r="D693"/>
        </row>
        <row r="694">
          <cell r="D694"/>
        </row>
        <row r="695">
          <cell r="D695"/>
        </row>
        <row r="696">
          <cell r="D696"/>
        </row>
        <row r="697">
          <cell r="D697"/>
        </row>
        <row r="698">
          <cell r="D698"/>
        </row>
        <row r="699">
          <cell r="D699"/>
        </row>
        <row r="700">
          <cell r="D700"/>
        </row>
        <row r="701">
          <cell r="D701"/>
        </row>
        <row r="702">
          <cell r="D702"/>
        </row>
        <row r="703">
          <cell r="D703"/>
        </row>
        <row r="704">
          <cell r="D704"/>
        </row>
        <row r="705">
          <cell r="D705"/>
        </row>
        <row r="706">
          <cell r="D706"/>
        </row>
        <row r="707">
          <cell r="D707"/>
        </row>
        <row r="708">
          <cell r="D708"/>
        </row>
        <row r="709">
          <cell r="D709"/>
        </row>
        <row r="710">
          <cell r="D710"/>
        </row>
        <row r="711">
          <cell r="D711"/>
        </row>
        <row r="712">
          <cell r="D712"/>
        </row>
        <row r="713">
          <cell r="D713"/>
        </row>
        <row r="714">
          <cell r="D714"/>
        </row>
        <row r="715">
          <cell r="D715"/>
        </row>
        <row r="716">
          <cell r="D716"/>
        </row>
        <row r="717">
          <cell r="D717"/>
        </row>
        <row r="718">
          <cell r="D718"/>
        </row>
        <row r="719">
          <cell r="D719"/>
        </row>
        <row r="720">
          <cell r="D720"/>
        </row>
        <row r="721">
          <cell r="D721"/>
        </row>
        <row r="722">
          <cell r="D722"/>
        </row>
        <row r="723">
          <cell r="D723"/>
        </row>
        <row r="724">
          <cell r="D724"/>
        </row>
        <row r="725">
          <cell r="D725"/>
        </row>
        <row r="726">
          <cell r="D726"/>
        </row>
        <row r="727">
          <cell r="D727"/>
        </row>
        <row r="728">
          <cell r="D728"/>
        </row>
        <row r="729">
          <cell r="D729"/>
        </row>
        <row r="730">
          <cell r="D730"/>
        </row>
        <row r="731">
          <cell r="D731"/>
        </row>
        <row r="732">
          <cell r="D732"/>
        </row>
        <row r="733">
          <cell r="D733"/>
        </row>
        <row r="734">
          <cell r="D734"/>
        </row>
        <row r="735">
          <cell r="D735"/>
        </row>
        <row r="736">
          <cell r="D736"/>
        </row>
        <row r="737">
          <cell r="D737"/>
        </row>
        <row r="738">
          <cell r="D738"/>
        </row>
        <row r="739">
          <cell r="D739"/>
        </row>
        <row r="740">
          <cell r="D740"/>
        </row>
        <row r="741">
          <cell r="D741"/>
        </row>
        <row r="742">
          <cell r="D742"/>
        </row>
        <row r="743">
          <cell r="D743"/>
        </row>
        <row r="744">
          <cell r="D744"/>
        </row>
        <row r="745">
          <cell r="D745"/>
        </row>
        <row r="746">
          <cell r="D746"/>
        </row>
        <row r="747">
          <cell r="D747"/>
        </row>
        <row r="748">
          <cell r="D748"/>
        </row>
        <row r="749">
          <cell r="D749"/>
        </row>
        <row r="750">
          <cell r="D750"/>
        </row>
        <row r="751">
          <cell r="D751"/>
        </row>
        <row r="752">
          <cell r="D752"/>
        </row>
        <row r="753">
          <cell r="D753"/>
        </row>
        <row r="754">
          <cell r="D754"/>
        </row>
        <row r="755">
          <cell r="D755"/>
        </row>
        <row r="756">
          <cell r="D756"/>
        </row>
        <row r="757">
          <cell r="D757"/>
        </row>
        <row r="758">
          <cell r="D758"/>
        </row>
        <row r="759">
          <cell r="D759"/>
        </row>
        <row r="760">
          <cell r="D760"/>
        </row>
        <row r="761">
          <cell r="D761"/>
        </row>
        <row r="762">
          <cell r="D762"/>
        </row>
        <row r="763">
          <cell r="D763"/>
        </row>
        <row r="764">
          <cell r="D764"/>
        </row>
        <row r="765">
          <cell r="D765"/>
        </row>
        <row r="766">
          <cell r="D766"/>
        </row>
        <row r="767">
          <cell r="D767"/>
        </row>
        <row r="768">
          <cell r="D768"/>
        </row>
        <row r="769">
          <cell r="D769"/>
        </row>
        <row r="770">
          <cell r="D770"/>
        </row>
        <row r="771">
          <cell r="D771"/>
        </row>
        <row r="772">
          <cell r="D772"/>
        </row>
        <row r="773">
          <cell r="D773"/>
        </row>
        <row r="774">
          <cell r="D774"/>
        </row>
        <row r="775">
          <cell r="D775"/>
        </row>
        <row r="776">
          <cell r="D776"/>
        </row>
        <row r="777">
          <cell r="D777"/>
        </row>
        <row r="778">
          <cell r="D778"/>
        </row>
        <row r="779">
          <cell r="D779"/>
        </row>
        <row r="780">
          <cell r="D780"/>
        </row>
        <row r="781">
          <cell r="D781"/>
        </row>
        <row r="782">
          <cell r="D782"/>
        </row>
        <row r="783">
          <cell r="D783"/>
        </row>
        <row r="784">
          <cell r="D784"/>
        </row>
        <row r="785">
          <cell r="D785"/>
        </row>
        <row r="786">
          <cell r="D786"/>
        </row>
        <row r="787">
          <cell r="D787"/>
        </row>
        <row r="788">
          <cell r="D788"/>
        </row>
        <row r="789">
          <cell r="D789"/>
        </row>
        <row r="790">
          <cell r="D790"/>
        </row>
        <row r="791">
          <cell r="D791"/>
        </row>
        <row r="792">
          <cell r="D792"/>
        </row>
        <row r="793">
          <cell r="D793"/>
        </row>
        <row r="794">
          <cell r="D794"/>
        </row>
        <row r="795">
          <cell r="D795"/>
        </row>
        <row r="796">
          <cell r="D796"/>
        </row>
        <row r="797">
          <cell r="D797"/>
        </row>
        <row r="798">
          <cell r="D798"/>
        </row>
        <row r="799">
          <cell r="D799"/>
        </row>
        <row r="800">
          <cell r="D800"/>
        </row>
        <row r="801">
          <cell r="D801"/>
        </row>
        <row r="802">
          <cell r="D802"/>
        </row>
        <row r="803">
          <cell r="D803"/>
        </row>
        <row r="804">
          <cell r="D804"/>
        </row>
        <row r="805">
          <cell r="D805"/>
        </row>
        <row r="806">
          <cell r="D806"/>
        </row>
        <row r="807">
          <cell r="D807"/>
        </row>
        <row r="808">
          <cell r="D808"/>
        </row>
        <row r="809">
          <cell r="D809"/>
        </row>
        <row r="810">
          <cell r="D810"/>
        </row>
        <row r="811">
          <cell r="D811"/>
        </row>
        <row r="812">
          <cell r="D812"/>
        </row>
        <row r="813">
          <cell r="D813"/>
        </row>
        <row r="814">
          <cell r="D814"/>
        </row>
        <row r="815">
          <cell r="D815"/>
        </row>
        <row r="816">
          <cell r="D816"/>
        </row>
        <row r="817">
          <cell r="D817"/>
        </row>
        <row r="818">
          <cell r="D818"/>
        </row>
        <row r="819">
          <cell r="D819"/>
        </row>
        <row r="820">
          <cell r="D820"/>
        </row>
        <row r="821">
          <cell r="D821"/>
        </row>
        <row r="822">
          <cell r="D822"/>
        </row>
        <row r="823">
          <cell r="D823"/>
        </row>
        <row r="824">
          <cell r="D824"/>
        </row>
        <row r="825">
          <cell r="D825"/>
        </row>
        <row r="826">
          <cell r="D826"/>
        </row>
        <row r="827">
          <cell r="D827"/>
        </row>
        <row r="828">
          <cell r="D828"/>
        </row>
        <row r="829">
          <cell r="D829"/>
        </row>
        <row r="830">
          <cell r="D830"/>
        </row>
        <row r="831">
          <cell r="D831"/>
        </row>
        <row r="832">
          <cell r="D832"/>
        </row>
        <row r="833">
          <cell r="D833"/>
        </row>
        <row r="834">
          <cell r="D834"/>
        </row>
        <row r="835">
          <cell r="D835"/>
        </row>
        <row r="836">
          <cell r="D836"/>
        </row>
        <row r="837">
          <cell r="D837"/>
        </row>
        <row r="838">
          <cell r="D838"/>
        </row>
        <row r="839">
          <cell r="D839"/>
        </row>
        <row r="840">
          <cell r="D840"/>
        </row>
        <row r="841">
          <cell r="D841"/>
        </row>
        <row r="842">
          <cell r="D842"/>
        </row>
        <row r="843">
          <cell r="D843"/>
        </row>
        <row r="844">
          <cell r="D844"/>
        </row>
        <row r="845">
          <cell r="D845"/>
        </row>
        <row r="846">
          <cell r="D846"/>
        </row>
        <row r="847">
          <cell r="D847"/>
        </row>
        <row r="848">
          <cell r="D848"/>
        </row>
        <row r="849">
          <cell r="D849"/>
        </row>
        <row r="850">
          <cell r="D850"/>
        </row>
        <row r="851">
          <cell r="D851"/>
        </row>
        <row r="852">
          <cell r="D852"/>
        </row>
        <row r="853">
          <cell r="D853"/>
        </row>
        <row r="854">
          <cell r="D854"/>
        </row>
        <row r="855">
          <cell r="D855"/>
        </row>
        <row r="856">
          <cell r="D856"/>
        </row>
        <row r="857">
          <cell r="D857"/>
        </row>
        <row r="858">
          <cell r="D858"/>
        </row>
        <row r="859">
          <cell r="D859"/>
        </row>
        <row r="860">
          <cell r="D860"/>
        </row>
        <row r="861">
          <cell r="D861"/>
        </row>
        <row r="862">
          <cell r="D862"/>
        </row>
        <row r="863">
          <cell r="D863"/>
        </row>
        <row r="864">
          <cell r="D864"/>
        </row>
        <row r="865">
          <cell r="D865"/>
        </row>
        <row r="866">
          <cell r="D866"/>
        </row>
        <row r="867">
          <cell r="D867"/>
        </row>
        <row r="868">
          <cell r="D868"/>
        </row>
        <row r="869">
          <cell r="D869"/>
        </row>
        <row r="870">
          <cell r="D870"/>
        </row>
        <row r="871">
          <cell r="D871"/>
        </row>
        <row r="872">
          <cell r="D872"/>
        </row>
        <row r="873">
          <cell r="D873"/>
        </row>
        <row r="874">
          <cell r="D874"/>
        </row>
        <row r="875">
          <cell r="D875"/>
        </row>
        <row r="876">
          <cell r="D876"/>
        </row>
        <row r="877">
          <cell r="D877"/>
        </row>
        <row r="878">
          <cell r="D878"/>
        </row>
        <row r="879">
          <cell r="D879"/>
        </row>
        <row r="880">
          <cell r="D880"/>
        </row>
        <row r="881">
          <cell r="D881"/>
        </row>
        <row r="882">
          <cell r="D882"/>
        </row>
        <row r="883">
          <cell r="D883"/>
        </row>
        <row r="884">
          <cell r="D884"/>
        </row>
        <row r="885">
          <cell r="D885"/>
        </row>
        <row r="886">
          <cell r="D886"/>
        </row>
        <row r="887">
          <cell r="D887"/>
        </row>
        <row r="888">
          <cell r="D888"/>
        </row>
        <row r="889">
          <cell r="D889"/>
        </row>
        <row r="890">
          <cell r="D890"/>
        </row>
        <row r="891">
          <cell r="D891"/>
        </row>
        <row r="892">
          <cell r="D892"/>
        </row>
        <row r="893">
          <cell r="D893"/>
        </row>
        <row r="894">
          <cell r="D894"/>
        </row>
        <row r="895">
          <cell r="D895"/>
        </row>
        <row r="896">
          <cell r="D896"/>
        </row>
        <row r="897">
          <cell r="D897"/>
        </row>
        <row r="898">
          <cell r="D898"/>
        </row>
        <row r="899">
          <cell r="D899"/>
        </row>
        <row r="900">
          <cell r="D900"/>
        </row>
        <row r="901">
          <cell r="D901"/>
        </row>
        <row r="902">
          <cell r="D902"/>
        </row>
        <row r="903">
          <cell r="D903"/>
        </row>
        <row r="904">
          <cell r="D904"/>
        </row>
        <row r="905">
          <cell r="D905"/>
        </row>
        <row r="906">
          <cell r="D906"/>
        </row>
        <row r="907">
          <cell r="D907"/>
        </row>
        <row r="908">
          <cell r="D908"/>
        </row>
        <row r="909">
          <cell r="D909"/>
        </row>
        <row r="910">
          <cell r="D910"/>
        </row>
        <row r="911">
          <cell r="D911"/>
        </row>
        <row r="912">
          <cell r="D912"/>
        </row>
        <row r="913">
          <cell r="D913"/>
        </row>
        <row r="914">
          <cell r="D914"/>
        </row>
        <row r="915">
          <cell r="D915"/>
        </row>
        <row r="916">
          <cell r="D916"/>
        </row>
        <row r="917">
          <cell r="D917"/>
        </row>
        <row r="918">
          <cell r="D918"/>
        </row>
        <row r="919">
          <cell r="D919"/>
        </row>
        <row r="920">
          <cell r="D920"/>
        </row>
        <row r="921">
          <cell r="D921"/>
        </row>
        <row r="922">
          <cell r="D922"/>
        </row>
        <row r="923">
          <cell r="D923"/>
        </row>
        <row r="924">
          <cell r="D924"/>
        </row>
        <row r="925">
          <cell r="D925"/>
        </row>
        <row r="926">
          <cell r="D926"/>
        </row>
        <row r="927">
          <cell r="D927"/>
        </row>
        <row r="928">
          <cell r="D928"/>
        </row>
        <row r="929">
          <cell r="D929"/>
        </row>
        <row r="930">
          <cell r="D930"/>
        </row>
        <row r="931">
          <cell r="D931"/>
        </row>
        <row r="932">
          <cell r="D932"/>
        </row>
        <row r="933">
          <cell r="D933"/>
        </row>
        <row r="934">
          <cell r="D934"/>
        </row>
        <row r="935">
          <cell r="D935"/>
        </row>
        <row r="936">
          <cell r="D936"/>
        </row>
        <row r="937">
          <cell r="D937"/>
        </row>
        <row r="938">
          <cell r="D938"/>
        </row>
        <row r="939">
          <cell r="D939"/>
        </row>
        <row r="940">
          <cell r="D940"/>
        </row>
        <row r="941">
          <cell r="D941"/>
        </row>
        <row r="942">
          <cell r="D942"/>
        </row>
        <row r="943">
          <cell r="D943"/>
        </row>
        <row r="944">
          <cell r="D944"/>
        </row>
        <row r="945">
          <cell r="D945"/>
        </row>
        <row r="946">
          <cell r="D946"/>
        </row>
        <row r="947">
          <cell r="D947"/>
        </row>
        <row r="948">
          <cell r="D948"/>
        </row>
        <row r="949">
          <cell r="D949"/>
        </row>
        <row r="950">
          <cell r="D950"/>
        </row>
        <row r="951">
          <cell r="D951"/>
        </row>
        <row r="952">
          <cell r="D952"/>
        </row>
        <row r="953">
          <cell r="D953"/>
        </row>
        <row r="954">
          <cell r="D954"/>
        </row>
        <row r="955">
          <cell r="D955"/>
        </row>
        <row r="956">
          <cell r="D956"/>
        </row>
        <row r="957">
          <cell r="D957"/>
        </row>
        <row r="958">
          <cell r="D958"/>
        </row>
        <row r="959">
          <cell r="D959"/>
        </row>
        <row r="960">
          <cell r="D960"/>
        </row>
        <row r="961">
          <cell r="D961"/>
        </row>
        <row r="962">
          <cell r="D962"/>
        </row>
        <row r="963">
          <cell r="D963"/>
        </row>
        <row r="964">
          <cell r="D964"/>
        </row>
        <row r="965">
          <cell r="D965"/>
        </row>
        <row r="966">
          <cell r="D966"/>
        </row>
        <row r="967">
          <cell r="D967"/>
        </row>
        <row r="968">
          <cell r="D968"/>
        </row>
        <row r="969">
          <cell r="D969"/>
        </row>
        <row r="970">
          <cell r="D970"/>
        </row>
        <row r="971">
          <cell r="D971"/>
        </row>
        <row r="972">
          <cell r="D972"/>
        </row>
        <row r="973">
          <cell r="D973"/>
        </row>
        <row r="974">
          <cell r="D974"/>
        </row>
        <row r="975">
          <cell r="D975"/>
        </row>
        <row r="976">
          <cell r="D976"/>
        </row>
        <row r="977">
          <cell r="D977"/>
        </row>
        <row r="978">
          <cell r="D978"/>
        </row>
        <row r="979">
          <cell r="D979"/>
        </row>
        <row r="980">
          <cell r="D980"/>
        </row>
        <row r="981">
          <cell r="D981"/>
        </row>
        <row r="982">
          <cell r="D982"/>
        </row>
        <row r="983">
          <cell r="D983"/>
        </row>
        <row r="984">
          <cell r="D984"/>
        </row>
        <row r="985">
          <cell r="D985"/>
        </row>
        <row r="986">
          <cell r="D986"/>
        </row>
        <row r="987">
          <cell r="D987"/>
        </row>
        <row r="988">
          <cell r="D988"/>
        </row>
        <row r="989">
          <cell r="D989"/>
        </row>
        <row r="990">
          <cell r="D990"/>
        </row>
        <row r="991">
          <cell r="D991"/>
        </row>
        <row r="992">
          <cell r="D992"/>
        </row>
        <row r="993">
          <cell r="D993"/>
        </row>
        <row r="994">
          <cell r="D994"/>
        </row>
        <row r="995">
          <cell r="D995"/>
        </row>
        <row r="996">
          <cell r="D996"/>
        </row>
        <row r="997">
          <cell r="D997"/>
        </row>
        <row r="998">
          <cell r="D998"/>
        </row>
        <row r="999">
          <cell r="D999"/>
        </row>
        <row r="1000">
          <cell r="D1000"/>
        </row>
        <row r="1001">
          <cell r="D1001"/>
        </row>
        <row r="1002">
          <cell r="D1002"/>
        </row>
        <row r="1003">
          <cell r="D1003"/>
        </row>
        <row r="1004">
          <cell r="D1004"/>
        </row>
        <row r="1005">
          <cell r="D1005"/>
        </row>
        <row r="1006">
          <cell r="D1006"/>
        </row>
        <row r="1007">
          <cell r="D1007"/>
        </row>
        <row r="1008">
          <cell r="D1008"/>
        </row>
        <row r="1009">
          <cell r="D1009"/>
        </row>
        <row r="1010">
          <cell r="D1010"/>
        </row>
      </sheetData>
      <sheetData sheetId="7"/>
      <sheetData sheetId="8"/>
      <sheetData sheetId="9"/>
      <sheetData sheetId="10"/>
      <sheetData sheetId="1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03">
  <rv s="0">
    <v>0</v>
    <v>5</v>
  </rv>
  <rv s="1">
    <v>https://creativecommons.org/licenses/by-sa/3.0</v>
    <v>CC BY-SA 3.0</v>
  </rv>
  <rv s="1">
    <v>http://en.wikipedia.org/wiki/Eletrobras</v>
    <v>Wikipedia</v>
  </rv>
  <rv s="2">
    <v>1</v>
    <v>2</v>
  </rv>
  <rv s="3">
    <v>7</v>
    <v>https://www.bing.com/th?id=AMMS_47d2a68313bf3c91f117037b98f07a39&amp;qlt=95</v>
    <v>3</v>
    <v>0</v>
    <v>https://www.bing.com/images/search?form=xlimg&amp;q=eletrobras</v>
    <v>Image of CENTRAIS ELETRICAS BRASILEIRAS SA ELETROBRAS</v>
  </rv>
  <rv s="1">
    <v>https://www.bing.com/financeapi/forcetrigger?t=apmh3m&amp;q=BVMF%3aELET3&amp;form=skydnc</v>
    <v>Learn more on Bing</v>
  </rv>
  <rv s="4">
    <v>pt-BR</v>
    <v>apmh3m</v>
    <v>268435456</v>
    <v>1</v>
    <v>Da plataforma Refinitiv</v>
    <v>0</v>
    <v>1</v>
    <v>CENTRAIS ELETRICAS BRASILEIRAS SA ELETROBRAS (BVMF:AXIA3)</v>
    <v>4</v>
    <v>5</v>
    <v>Finance</v>
    <v>6</v>
    <v>67.84</v>
    <v>27.75</v>
    <v>BVMF</v>
    <v>2635340000</v>
    <v>54.39</v>
    <v>1962</v>
    <v>53.17</v>
    <v>1.0147999999999999</v>
    <v>B3 - Brazil Stock Exchange</v>
    <v>141623171600</v>
    <v>A Eletrobras é uma empresa brasileira de energia, especializada na geração e transmissão de energia elétrica. As operações da Companhia são divididas em dois segmentos primários: Geração de Energia e Transmissão de Energia. O portfólio de energia da Eletrobras consiste principalmente em fontes de baixo carbono, com a maioria das hidrelétricas, complementadas pela energia eólica e solar. No segmento de Geração de Energia, a Eletrobras administra uma ampla gama de Usinas, incluindo hidrelétricas e parques eólicos. O segmento de Transmissão de Energia envolve supervisionar uma ampla rede de linhas de transmissão em todo o Brasil. A Companhia opera através de uma rede de subsidiárias regionais.</v>
    <v>BVMF</v>
    <v>53.16</v>
    <v>7168</v>
    <v>46190.59516203704</v>
    <v>4</v>
    <v>5</v>
    <v>1949800</v>
    <v>BRL</v>
    <v>CENTRAIS ELETRICAS BRASILEIRAS SA ELETROBRAS</v>
    <v>CENTRAIS ELETRICAS BRASILEIRAS SA ELETROBRAS</v>
    <v>53.17</v>
    <v>53.74</v>
    <v>Av. Graca Aranha, 26,, Centro, RIO DE JANEIRO, RIO DE JANEIRO, 20.030-900 BR</v>
    <v>Electrical Utilities &amp; IPPs</v>
    <v>AXIA3</v>
    <v>Ações</v>
    <v>CENTRAIS ELETRICAS BRASILEIRAS SA ELETROBRAS (BVMF:AXIA3)</v>
    <v>0.57999999999999996</v>
    <v>1.091E-2</v>
    <v>1498100</v>
  </rv>
  <rv s="5">
    <v>6</v>
  </rv>
  <rv s="1">
    <v>https://www.bing.com/financeapi/forcetrigger?t=a25hrw&amp;q=ARCX%3aVOOV&amp;form=skydnc</v>
    <v>Learn more on Bing</v>
  </rv>
  <rv s="6">
    <v>pt-BR</v>
    <v>a25hrw</v>
    <v>268435456</v>
    <v>1</v>
    <v>Da plataforma Refinitiv</v>
    <v>8</v>
    <v>9</v>
    <v>Vanguard S&amp;P 500V;ETF (ARCX:VOOV)</v>
    <v>10</v>
    <v>11</v>
    <v>Finance</v>
    <v>12</v>
    <v>222.98</v>
    <v>184.02</v>
    <v>ARCX</v>
    <v>222.095</v>
    <v>221.745</v>
    <v>1.0001</v>
    <v>NYSE Arca</v>
    <v>6458255714</v>
    <v>222.04</v>
    <v>46190.605575532034</v>
    <v>8</v>
    <v>72641</v>
    <v>USD</v>
    <v>Vanguard S&amp;P 500V;ETF</v>
    <v>221.78</v>
    <v>222.07499999999999</v>
    <v>VOOV</v>
    <v>7.000000000000001E-4</v>
    <v>Fundos mais negociados</v>
    <v>Vanguard S&amp;P 500V;ETF (ARCX:VOOV)</v>
    <v>3.5000000000000003E-2</v>
    <v>1.5760000000000001E-4</v>
    <v>12868</v>
  </rv>
  <rv s="5">
    <v>9</v>
  </rv>
  <rv s="7">
    <v>pt-BR</v>
    <v>cc5pdm</v>
    <v>268435456</v>
    <v>1</v>
    <v>Da plataforma Refinitiv</v>
    <v>13</v>
    <v>14</v>
    <v>iShares Bitcoin Trust (XNAS:IBIT)</v>
    <v>15</v>
    <v>16</v>
    <v>Finance</v>
    <v>12</v>
    <v>71.819999999999993</v>
    <v>33.479999999999997</v>
    <v>XNAS</v>
    <v>37.06</v>
    <v>36.69</v>
    <v>Nasdaq Stock Market</v>
    <v>58118957374.68</v>
    <v>37.17</v>
    <v>46190.605619258597</v>
    <v>47255102</v>
    <v>USD</v>
    <v>iShares Bitcoin Trust</v>
    <v>36.71</v>
    <v>36.9</v>
    <v>IBIT</v>
    <v>2.5000000000000001E-3</v>
    <v>Fundos mais negociados</v>
    <v>iShares Bitcoin Trust (XNAS:IBIT)</v>
    <v>-0.27</v>
    <v>-7.2640000000000005E-3</v>
    <v>9508452</v>
  </rv>
  <rv s="5">
    <v>11</v>
  </rv>
  <rv s="1">
    <v>https://www.bing.com/financeapi/forcetrigger?t=apmik2&amp;q=BVMF%3aEQTL3&amp;form=skydnc</v>
    <v>Learn more on Bing</v>
  </rv>
  <rv s="8">
    <v>pt-BR</v>
    <v>apmik2</v>
    <v>268435456</v>
    <v>1</v>
    <v>Da plataforma Refinitiv</v>
    <v>17</v>
    <v>18</v>
    <v>EQUATORIAL S.A. (BVMF:EQTL3)</v>
    <v>19</v>
    <v>20</v>
    <v>Finance</v>
    <v>6</v>
    <v>46.32</v>
    <v>31.8</v>
    <v>BVMF</v>
    <v>1259387000</v>
    <v>38.28</v>
    <v>1999</v>
    <v>37.46</v>
    <v>0.86240000000000006</v>
    <v>B3 - Brazil Stock Exchange</v>
    <v>47642610210</v>
    <v>A Equatorial SA, anteriormente equatorial Energia SA, é uma holding sediada no Brasil que atua no setor de energia elétrica por meio de suas subsidiárias. É uma provedora de serviços de geração, comercialização, transmissão e distribuição, bem como serviços de saneamento e telecomunicações. As operações da Equatorial estão divididas em cinco segmentos econômicos: Distribuição, Transmissão (que inclui oito linhas de transmissão), Serviços (referentes às atividades de serviços prestados pela Equatorial Servicos SA e suas subsidiárias), outros, e Geração e Marketing. As principais operações da Companhia são realizadas por meio de subsidiárias localizadas nas regiões Nordeste, Norte, Centro-Oeste, Sudeste e Sul do Brasil.</v>
    <v>BVMF</v>
    <v>37.6</v>
    <v>1178</v>
    <v>46190.595173611109</v>
    <v>13</v>
    <v>10395200</v>
    <v>BRL</v>
    <v>EQUATORIAL S.A.</v>
    <v>EQUATORIAL S.A.</v>
    <v>37.46</v>
    <v>37.83</v>
    <v>Alameda A, Quadra SQS, n 100, Loteamento Quitandinha Anexo A, sala 31, Altos do Calhau, SAO LUIS, MARANHAO, 65.070-900 BR</v>
    <v>Electrical Utilities &amp; IPPs</v>
    <v>EQTL3</v>
    <v>Ações</v>
    <v>EQUATORIAL S.A. (BVMF:EQTL3)</v>
    <v>0.23</v>
    <v>6.117E-3</v>
    <v>793100</v>
  </rv>
  <rv s="5">
    <v>14</v>
  </rv>
  <rv s="1">
    <v>https://www.bing.com/financeapi/forcetrigger?t=a25hp2&amp;q=ARCX%3aVOOG&amp;form=skydnc</v>
    <v>Learn more on Bing</v>
  </rv>
  <rv s="6">
    <v>pt-BR</v>
    <v>a25hp2</v>
    <v>268435456</v>
    <v>1</v>
    <v>Da plataforma Refinitiv</v>
    <v>8</v>
    <v>9</v>
    <v>Vanguard S&amp;P 500G;ETF (ARCX:VOOG)</v>
    <v>10</v>
    <v>11</v>
    <v>Finance</v>
    <v>12</v>
    <v>85.346500000000006</v>
    <v>62.716799999999999</v>
    <v>ARCX</v>
    <v>82.894999999999996</v>
    <v>82.42</v>
    <v>1</v>
    <v>NYSE Arca</v>
    <v>26463178666</v>
    <v>82.51</v>
    <v>46190.605535010938</v>
    <v>16</v>
    <v>1743938</v>
    <v>USD</v>
    <v>Vanguard S&amp;P 500G;ETF</v>
    <v>82.784999999999997</v>
    <v>82.68</v>
    <v>VOOG</v>
    <v>7.000000000000001E-4</v>
    <v>Fundos mais negociados</v>
    <v>Vanguard S&amp;P 500G;ETF (ARCX:VOOG)</v>
    <v>0.17</v>
    <v>2.0599999999999998E-3</v>
    <v>319839</v>
  </rv>
  <rv s="5">
    <v>17</v>
  </rv>
  <rv s="1">
    <v>https://www.bing.com/financeapi/forcetrigger?t=c2ldqh&amp;q=ARCX%3aIAUM&amp;form=skydnc</v>
    <v>Learn more on Bing</v>
  </rv>
  <rv s="6">
    <v>pt-BR</v>
    <v>c2ldqh</v>
    <v>268435456</v>
    <v>1</v>
    <v>Da plataforma Refinitiv</v>
    <v>8</v>
    <v>9</v>
    <v>iShares Gold Trust Micro (ARCX:IAUM)</v>
    <v>10</v>
    <v>11</v>
    <v>Finance</v>
    <v>12</v>
    <v>55.27</v>
    <v>32.46</v>
    <v>ARCX</v>
    <v>43.47</v>
    <v>43.17</v>
    <v>0.8296</v>
    <v>NYSE Arca</v>
    <v>7182691736.1700001</v>
    <v>43.18</v>
    <v>46190.605539617965</v>
    <v>19</v>
    <v>2455442</v>
    <v>USD</v>
    <v>iShares Gold Trust Micro</v>
    <v>43.19</v>
    <v>43.42</v>
    <v>IAUM</v>
    <v>7.000000000000001E-4</v>
    <v>Fundos mais negociados</v>
    <v>iShares Gold Trust Micro (ARCX:IAUM)</v>
    <v>0.24</v>
    <v>5.5579999999999996E-3</v>
    <v>308968</v>
  </rv>
  <rv s="5">
    <v>20</v>
  </rv>
  <rv s="1">
    <v>https://www.bing.com/financeapi/forcetrigger?t=apnhoc&amp;q=BVMF%3aTRPL4&amp;form=skydnc</v>
    <v>Learn more on Bing</v>
  </rv>
  <rv s="8">
    <v>pt-BR</v>
    <v>apnhoc</v>
    <v>268435456</v>
    <v>1</v>
    <v>Da plataforma Refinitiv</v>
    <v>17</v>
    <v>18</v>
    <v>ISA ENERGIA BRASIL S.A. (BVMF:ISAE4)</v>
    <v>19</v>
    <v>20</v>
    <v>Finance</v>
    <v>6</v>
    <v>32.04</v>
    <v>19.63</v>
    <v>BVMF</v>
    <v>658883300</v>
    <v>27.98</v>
    <v>1999</v>
    <v>27.56</v>
    <v>0.64410000000000001</v>
    <v>B3 - Brazil Stock Exchange</v>
    <v>18204945579</v>
    <v>A ISA Energia Brasil SA, anteriormente CTEEP - Companhia de Transmissão de Energia Elétrica Paulista, é uma empresa pública brasileira que atua na indústria de energia elétrica. A Companhia é concessionária de serviço público de energia elétrica, e está principalmente envolvida na transmissão de energia, o que requer planejamento, implantação de infraestrutura e operação e manutenção de sistemas de transmissão de energia subordinados. A empresa também faz investimentos, gerencia pesquisas e desenvolve programas relacionados à transmissão de energia e outras atividades relacionadas à tecnologia disponível. A Companhia está presente e atua em diversos estados através de suas subsidiárias e faz parte das empresas que formam o grupo econômico ISA, que atua há décadas no setor de transmissão de energia elétrica na Colômbia.</v>
    <v>BVMF</v>
    <v>27.7</v>
    <v>1626</v>
    <v>46190.595138888886</v>
    <v>22</v>
    <v>2621110</v>
    <v>BRL</v>
    <v>ISA ENERGIA BRASIL S.A.</v>
    <v>ISA ENERGIA BRASIL S.A.</v>
    <v>27.7</v>
    <v>27.63</v>
    <v>Av. das Nacoes Unidas 14171 - Torre Crystal, 6 andar, Vila Gertrudes, SAO PAULO, SAO PAULO, 04.794-000 BR</v>
    <v>Electrical Utilities &amp; IPPs</v>
    <v>ISAE4</v>
    <v>Ações</v>
    <v>ISA ENERGIA BRASIL S.A. (BVMF:ISAE4)</v>
    <v>-7.0000000000000007E-2</v>
    <v>-2.5269999999999997E-3</v>
    <v>336900</v>
  </rv>
  <rv s="5">
    <v>23</v>
  </rv>
  <rv s="1">
    <v>https://www.bing.com/financeapi/forcetrigger?t=a25cvh&amp;q=ARCX%3aVIOV&amp;form=skydnc</v>
    <v>Learn more on Bing</v>
  </rv>
  <rv s="6">
    <v>pt-BR</v>
    <v>a25cvh</v>
    <v>268435456</v>
    <v>1</v>
    <v>Da plataforma Refinitiv</v>
    <v>8</v>
    <v>9</v>
    <v>Vanguard S&amp;P SC600V;ETF (ARCX:VIOV)</v>
    <v>10</v>
    <v>11</v>
    <v>Finance</v>
    <v>12</v>
    <v>117.41</v>
    <v>82.89</v>
    <v>ARCX</v>
    <v>115.62</v>
    <v>115.17310000000001</v>
    <v>1</v>
    <v>NYSE Arca</v>
    <v>1777608677</v>
    <v>115.26</v>
    <v>46190.605413992969</v>
    <v>25</v>
    <v>41817</v>
    <v>USD</v>
    <v>Vanguard S&amp;P SC600V;ETF</v>
    <v>115.565</v>
    <v>115.47499999999999</v>
    <v>VIOV</v>
    <v>1E-3</v>
    <v>Fundos mais negociados</v>
    <v>Vanguard S&amp;P SC600V;ETF (ARCX:VIOV)</v>
    <v>0.215</v>
    <v>1.8649999999999999E-3</v>
    <v>86423</v>
  </rv>
  <rv s="5">
    <v>26</v>
  </rv>
  <rv s="1">
    <v>https://www.bing.com/financeapi/forcetrigger?t=bunynm&amp;q=XCNQ%3aSLV&amp;form=skydnc</v>
    <v>Learn more on Bing</v>
  </rv>
  <rv s="9">
    <v>pt-BR</v>
    <v>bunynm</v>
    <v>268435456</v>
    <v>1</v>
    <v>Da plataforma Refinitiv</v>
    <v>21</v>
    <v>22</v>
    <v>Silver Dlr Rsrcs (XCNQ:SLV)</v>
    <v>19</v>
    <v>23</v>
    <v>Finance</v>
    <v>24</v>
    <v>0.72</v>
    <v>0.19500000000000001</v>
    <v>XCNQ</v>
    <v>75585310</v>
    <v>0.3</v>
    <v>2018</v>
    <v>0.28999999999999998</v>
    <v>2.024</v>
    <v>Canadian National Stock Exchange</v>
    <v>22675593</v>
    <v xml:space="preserve">Silver Dollar Resources Inc. is a Canada-based mineral exploration company focused on North America's mining regions. Its projects include the La Joya Silver Project and the Nora Silver-Gold Project. The La Joya Silver (Cu-Au) Project is 100% owned by the Company and located in the south-eastern portion of the state of Durango in the Mexican Silver Belt. Its operating mines include Silver Stom's La Parrilla Mine, Industrias Penoles' Sabinas Mine, Grupo Mexico's San Martin Mine, and others. The Nora Silver-Gold Project is 100% owned by the Company and located in Eastern Sierra Madre sub-province in the transition to the high plateau of Mexico. The Company’s Red Lake Area Properties include Pakwash Lake Property and Longlegged Lake Property. Its Pakwash Lake property is 100% owned by the Company and located approximately 30 kilometres (km) south-southeast of the town of Red Lake. Its Longlegged Lake property is located approximately 30 km south of the town of Red Lake. </v>
    <v>XCNQ</v>
    <v>0.28999999999999998</v>
    <v>46190.581779142965</v>
    <v>28</v>
    <v>220140</v>
    <v>CAD</v>
    <v>Silver Dlr Rsrcs</v>
    <v>Silver Dlr Rsrcs</v>
    <v>0.29499999999999998</v>
    <v>0.3</v>
    <v>Suite 416. 179 - 2945 Jacklin Road, BC, V9B 6J9 CA</v>
    <v>Metals &amp; Mining</v>
    <v>SLV</v>
    <v>Ações</v>
    <v>Silver Dlr Rsrcs (XCNQ:SLV)</v>
    <v>0.01</v>
    <v>3.4483E-2</v>
    <v>27035</v>
  </rv>
  <rv s="5">
    <v>29</v>
  </rv>
  <rv s="1">
    <v>https://www.bing.com/financeapi/forcetrigger?t=apmb52&amp;q=BVMF%3aCPLE3&amp;form=skydnc</v>
    <v>Learn more on Bing</v>
  </rv>
  <rv s="8">
    <v>pt-BR</v>
    <v>apmb52</v>
    <v>268435456</v>
    <v>1</v>
    <v>Da plataforma Refinitiv</v>
    <v>17</v>
    <v>18</v>
    <v>Companhia Paranaense de Energia - Copel (BVMF:CPLE3)</v>
    <v>19</v>
    <v>20</v>
    <v>Finance</v>
    <v>6</v>
    <v>16.87</v>
    <v>9.84</v>
    <v>BVMF</v>
    <v>2982811000</v>
    <v>14.76</v>
    <v>1954</v>
    <v>14.6</v>
    <v>0.83020000000000005</v>
    <v>B3 - Brazil Stock Exchange</v>
    <v>18568955160</v>
    <v>A Companhia Paranaense de Energia, também conhecida como Copel, é uma empresa brasileira de energia elétrica. As atividades do escritório estão divididas em cinco segmentos: Geração e Transmissão de Energia (GET); Distribuição e Vendas de Energia (DIS); Telecomunicações (TEL); Gás; e Holding (HOL). O segmento GET inclui a geração de energia elétrica a partir de projetos hidráulicos, eólicos e térmicos; o transporte e transformação da energia gerada pela Companhia; e a construção, operação e manutenção de todas as subestações e linhas de transmissão de energia. O segmento DISs está focado na distribuição e venda de energia elétrica, e na operação e manutenção da infraestrutura de distribuição. O segmento TEL presta serviços de telecomunicações. O segmento de Gás está envolvido no serviço público de distribuição de gás natural canalizado. O SEGMENTO HOL consiste na participação em outras empresas. A Companhia atua no estado do Paraná.</v>
    <v>BVMF</v>
    <v>14.5</v>
    <v>4287</v>
    <v>46190.59516203704</v>
    <v>31</v>
    <v>17798600</v>
    <v>BRL</v>
    <v>Companhia Paranaense de Energia - Copel</v>
    <v>Companhia Paranaense de Energia - Copel</v>
    <v>14.67</v>
    <v>14.63</v>
    <v>Rua Jose Izidoro Biazetto, 158, Orleans, CURITIBA, PARANA, 81.200-240 BR</v>
    <v>Electrical Utilities &amp; IPPs</v>
    <v>CPLE3</v>
    <v>Ações</v>
    <v>Companhia Paranaense de Energia - Copel (BVMF:CPLE3)</v>
    <v>0.13</v>
    <v>8.966E-3</v>
    <v>3296200</v>
  </rv>
  <rv s="5">
    <v>32</v>
  </rv>
  <rv s="1">
    <v>https://www.bing.com/financeapi/forcetrigger?t=a25bf2&amp;q=ARCX%3aVGT&amp;form=skydnc</v>
    <v>Learn more on Bing</v>
  </rv>
  <rv s="6">
    <v>pt-BR</v>
    <v>a25bf2</v>
    <v>268435456</v>
    <v>1</v>
    <v>Da plataforma Refinitiv</v>
    <v>8</v>
    <v>9</v>
    <v>Vanguard InfoTch Idx;ETF (ARCX:VGT)</v>
    <v>10</v>
    <v>11</v>
    <v>Finance</v>
    <v>12</v>
    <v>126</v>
    <v>77.991500000000002</v>
    <v>ARCX</v>
    <v>119.37260000000001</v>
    <v>118.32</v>
    <v>1.0044</v>
    <v>NYSE Arca</v>
    <v>147260768825</v>
    <v>117.81</v>
    <v>46190.605607870311</v>
    <v>34</v>
    <v>5618406</v>
    <v>USD</v>
    <v>Vanguard InfoTch Idx;ETF</v>
    <v>119.07</v>
    <v>118.98</v>
    <v>VGT</v>
    <v>8.9999999999999998E-4</v>
    <v>Fundos mais negociados</v>
    <v>Vanguard InfoTch Idx;ETF (ARCX:VGT)</v>
    <v>1.17</v>
    <v>9.9310000000000006E-3</v>
    <v>697098</v>
  </rv>
  <rv s="5">
    <v>35</v>
  </rv>
  <rv s="1">
    <v>https://www.bing.com/financeapi/forcetrigger?t=a25azr&amp;q=ARCX%3aVGK&amp;form=skydnc</v>
    <v>Learn more on Bing</v>
  </rv>
  <rv s="6">
    <v>pt-BR</v>
    <v>a25azr</v>
    <v>268435456</v>
    <v>1</v>
    <v>Da plataforma Refinitiv</v>
    <v>8</v>
    <v>9</v>
    <v>Vanguard Euro S;ETF (ARCX:VGK)</v>
    <v>10</v>
    <v>11</v>
    <v>Finance</v>
    <v>12</v>
    <v>90.745000000000005</v>
    <v>74.240099999999998</v>
    <v>ARCX</v>
    <v>90.61</v>
    <v>90.344999999999999</v>
    <v>0.97270000000000001</v>
    <v>NYSE Arca</v>
    <v>30185750208</v>
    <v>90.01</v>
    <v>46190.605559745316</v>
    <v>37</v>
    <v>3052997</v>
    <v>USD</v>
    <v>Vanguard Euro S;ETF</v>
    <v>90.344999999999999</v>
    <v>90.575000000000003</v>
    <v>VGK</v>
    <v>5.9999999999999995E-4</v>
    <v>Fundos mais negociados</v>
    <v>Vanguard Euro S;ETF (ARCX:VGK)</v>
    <v>0.56499999999999995</v>
    <v>6.2770000000000005E-3</v>
    <v>311092</v>
  </rv>
  <rv s="5">
    <v>38</v>
  </rv>
  <rv s="1">
    <v>https://www.bing.com/financeapi/forcetrigger?t=apma5r&amp;q=BVMF%3aCMIG4&amp;form=skydnc</v>
    <v>Learn more on Bing</v>
  </rv>
  <rv s="8">
    <v>pt-BR</v>
    <v>apma5r</v>
    <v>268435456</v>
    <v>1</v>
    <v>Da plataforma Refinitiv</v>
    <v>17</v>
    <v>18</v>
    <v>Companhia Energética de Minas Gerais - CEMIG (BVMF:CMIG4)</v>
    <v>19</v>
    <v>20</v>
    <v>Finance</v>
    <v>6</v>
    <v>13.61</v>
    <v>9.2100000000000009</v>
    <v>BVMF</v>
    <v>2861782000</v>
    <v>10.84</v>
    <v>1952</v>
    <v>10.74</v>
    <v>0.53769999999999996</v>
    <v>B3 - Brazil Stock Exchange</v>
    <v>30878627779</v>
    <v>Energy of Minas Gerais Co é uma holding sediada no Brasil. A Companhia atua em diversos estados do Brasil, através de inúmeras subsidiárias. No entanto, as operações da Companhia são centralizadas principalmente no estado de Minas Gerais. O principal segmento operacional é a distribuição de energia elétrica, seguida pela comercialização de energia elétrica, distribuição de gás, geração de energia elétrica e transmissão de energia elétrica. Constituída para atuar na comercialização de energia elétrica e como holding, com interesses em subsidiárias ou entidades controladas conjuntamente, cujos objetivos são: Construção e operação de sistemas de geração, transformação, transmissão, distribuição e venda de energia, e também atividades nos diversos campos do setor energético, incluindo distribuição de gás, prestação de serviços de geração distribuída e soluções de eficiência energética, para fins de operação comercial.</v>
    <v>BVMF</v>
    <v>10.72</v>
    <v>5320</v>
    <v>46190.59516203704</v>
    <v>40</v>
    <v>12801680</v>
    <v>BRL</v>
    <v>Companhia Energética de Minas Gerais - CEMIG</v>
    <v>Companhia Energética de Minas Gerais - CEMIG</v>
    <v>10.84</v>
    <v>10.79</v>
    <v>Avenida Barbacena, 1200, 16 / B1, Santo Agostinho, BELO HORIZONTE, MINAS GERAIS, 30.190-131 BR</v>
    <v>Electrical Utilities &amp; IPPs</v>
    <v>CMIG4</v>
    <v>Ações</v>
    <v>Companhia Energética de Minas Gerais - CEMIG (BVMF:CMIG4)</v>
    <v>7.0000000000000007E-2</v>
    <v>6.5300000000000002E-3</v>
    <v>1287600</v>
  </rv>
  <rv s="5">
    <v>41</v>
  </rv>
  <rv s="1">
    <v>https://www.bing.com/financeapi/forcetrigger?t=a1xdsm&amp;q=XNAS%3aMCHI&amp;form=skydnc</v>
    <v>Learn more on Bing</v>
  </rv>
  <rv s="6">
    <v>pt-BR</v>
    <v>a1xdsm</v>
    <v>268435456</v>
    <v>1</v>
    <v>Da plataforma Refinitiv</v>
    <v>8</v>
    <v>9</v>
    <v>iShares:MSCI China (XNAS:MCHI)</v>
    <v>10</v>
    <v>11</v>
    <v>Finance</v>
    <v>12</v>
    <v>67.37</v>
    <v>53.4</v>
    <v>XNAS</v>
    <v>53.99</v>
    <v>53.63</v>
    <v>0.877</v>
    <v>Nasdaq Stock Market</v>
    <v>6346572238.6499996</v>
    <v>54.13</v>
    <v>46190.60555127266</v>
    <v>43</v>
    <v>3248569</v>
    <v>USD</v>
    <v>iShares:MSCI China</v>
    <v>53.69</v>
    <v>53.895000000000003</v>
    <v>MCHI</v>
    <v>5.8999999999999999E-3</v>
    <v>Fundos mais negociados</v>
    <v>iShares:MSCI China (XNAS:MCHI)</v>
    <v>-0.23499999999999999</v>
    <v>-4.3410000000000002E-3</v>
    <v>487496</v>
  </rv>
  <rv s="5">
    <v>44</v>
  </rv>
  <rv s="1">
    <v>https://www.bing.com/financeapi/forcetrigger?t=a1yndm&amp;q=BATS%3aNOBL&amp;form=skydnc</v>
    <v>Learn more on Bing</v>
  </rv>
  <rv s="6">
    <v>pt-BR</v>
    <v>a1yndm</v>
    <v>268435456</v>
    <v>1</v>
    <v>Da plataforma Refinitiv</v>
    <v>8</v>
    <v>9</v>
    <v>ProShares:S&amp;P 500 Dv Art (BATS:NOBL)</v>
    <v>10</v>
    <v>11</v>
    <v>Finance</v>
    <v>12</v>
    <v>57.655000000000001</v>
    <v>49.41</v>
    <v>BATS</v>
    <v>55.84</v>
    <v>55.54</v>
    <v>0.95389999999999997</v>
    <v>CBOE BZX Exchange</v>
    <v>11069606700.27</v>
    <v>55.82</v>
    <v>46190.605602325784</v>
    <v>46</v>
    <v>1020838</v>
    <v>USD</v>
    <v>ProShares:S&amp;P 500 Dv Art</v>
    <v>55.56</v>
    <v>55.7</v>
    <v>NOBL</v>
    <v>3.4999999999999996E-3</v>
    <v>Fundos mais negociados</v>
    <v>ProShares:S&amp;P 500 Dv Art (BATS:NOBL)</v>
    <v>-0.12</v>
    <v>-2.15E-3</v>
    <v>332447</v>
  </rv>
  <rv s="5">
    <v>47</v>
  </rv>
  <rv s="1">
    <v>https://www.bing.com/financeapi/forcetrigger?t=apmclh&amp;q=BVMF%3aCSMG3&amp;form=skydnc</v>
    <v>Learn more on Bing</v>
  </rv>
  <rv s="8">
    <v>pt-BR</v>
    <v>apmclh</v>
    <v>268435456</v>
    <v>1</v>
    <v>Da plataforma Refinitiv</v>
    <v>17</v>
    <v>18</v>
    <v>Companhia de Saneamento de Minas Gerais - COPASA MG (BVMF:CSMG3)</v>
    <v>19</v>
    <v>20</v>
    <v>Finance</v>
    <v>6</v>
    <v>61</v>
    <v>23.44</v>
    <v>BVMF</v>
    <v>380253100</v>
    <v>57.6</v>
    <v>1963</v>
    <v>56.33</v>
    <v>0.91059999999999997</v>
    <v>B3 - Brazil Stock Exchange</v>
    <v>21792305161</v>
    <v>A Companhia de Saneamento de Minas Gerais - COPASA MG, antiga Companhia Mineira de Água e Esgoto, Comag, é uma empresa estabelecida no Brasil, que atua no abastecimento de água e serviços de saneamento. As atividades da empresa dividem-se em três segmentos de negócios: serviços de água, de esgoto e venda de produtos. A divisão de serviços de água concentra-se na gestão do sistema de fornecimento de água e na distribuição de água por meio de centros de abastecimento no estado de Minas Gerais. A divisão de serviços de esgoto é responsável pela coleta, pelo tratamento e pelo descarte de água residual. A divisão de venda de produtos inclui a produção, o engarrafamento, a distribuição e a venda de água mineral. Além disso, a empresa fornece serviços de construção, benfeitorias e reparos em infraestruturas de concessionárias de água. Opera por meio de uma série de subsidiárias, como a Copasa Serviços de Saneamento Integrado do Norte e Nordeste de Minas Gerais S.A., Copasa Serviços de Irrigação S.A. e Copasa Águas Minerais de Minas S.A.</v>
    <v>BVMF</v>
    <v>56.19</v>
    <v>9836</v>
    <v>46190.595191481247</v>
    <v>49</v>
    <v>9570660</v>
    <v>BRL</v>
    <v>Companhia de Saneamento de Minas Gerais - COPASA MG</v>
    <v>Companhia de Saneamento de Minas Gerais - COPASA MG</v>
    <v>56.46</v>
    <v>57.31</v>
    <v>Rua Mar de Espanha, 525, Santo Antonio, BELO HORIZONTE, MINAS GERAIS, 30.270-130 BR</v>
    <v>Water Utilities</v>
    <v>CSMG3</v>
    <v>Ações</v>
    <v>Companhia de Saneamento de Minas Gerais - COPASA MG (BVMF:CSMG3)</v>
    <v>1.1200000000000001</v>
    <v>1.9932000000000002E-2</v>
    <v>1014200</v>
  </rv>
  <rv s="5">
    <v>50</v>
  </rv>
  <rv s="1">
    <v>https://www.bing.com/financeapi/forcetrigger?t=a1oizr&amp;q=ARCX%3aBIZD&amp;form=skydnc</v>
    <v>Learn more on Bing</v>
  </rv>
  <rv s="6">
    <v>pt-BR</v>
    <v>a1oizr</v>
    <v>268435456</v>
    <v>1</v>
    <v>Da plataforma Refinitiv</v>
    <v>8</v>
    <v>9</v>
    <v>VanEck:BDC Income (ARCX:BIZD)</v>
    <v>10</v>
    <v>11</v>
    <v>Finance</v>
    <v>12</v>
    <v>16.95</v>
    <v>11.974</v>
    <v>ARCX</v>
    <v>12.635</v>
    <v>12.535</v>
    <v>0.59330000000000005</v>
    <v>NYSE Arca</v>
    <v>1570142972.3299999</v>
    <v>12.62</v>
    <v>46190.605593796092</v>
    <v>52</v>
    <v>3031583</v>
    <v>USD</v>
    <v>VanEck:BDC Income</v>
    <v>12.63</v>
    <v>12.535</v>
    <v>BIZD</v>
    <v>4.0000000000000001E-3</v>
    <v>Fundos mais negociados</v>
    <v>VanEck:BDC Income (ARCX:BIZD)</v>
    <v>-8.5000000000000006E-2</v>
    <v>-6.7349999999999997E-3</v>
    <v>257621</v>
  </rv>
  <rv s="5">
    <v>53</v>
  </rv>
  <rv s="1">
    <v>https://www.bing.com/financeapi/forcetrigger?t=ay1qfr&amp;q=BVMF%3aSAPR11&amp;form=skydnc</v>
    <v>Learn more on Bing</v>
  </rv>
  <rv s="10">
    <v>pt-BR</v>
    <v>ay1qfr</v>
    <v>268435456</v>
    <v>1</v>
    <v>Da plataforma Refinitiv</v>
    <v>25</v>
    <v>26</v>
    <v>CIA SANEAMENTO DO PARANA UNT (BVMF:SAPR11)</v>
    <v>10</v>
    <v>27</v>
    <v>Finance</v>
    <v>6</v>
    <v>48.72</v>
    <v>31.59</v>
    <v>BVMF</v>
    <v>38.44</v>
    <v>37.75</v>
    <v>B3 - Brazil Stock Exchange</v>
    <v>37.979999999999997</v>
    <v>46190.595000000001</v>
    <v>55</v>
    <v>BRL</v>
    <v>CIA SANEAMENTO DO PARANA UNT</v>
    <v>37.799999999999997</v>
    <v>38.04</v>
    <v>SAPR11</v>
    <v>Fundos mais negociados</v>
    <v>CIA SANEAMENTO DO PARANA UNT (BVMF:SAPR11)</v>
    <v>0.06</v>
    <v>1.58E-3</v>
    <v>136300</v>
  </rv>
  <rv s="5">
    <v>56</v>
  </rv>
  <rv s="11">
    <v>pt-BR</v>
    <v>c786fr</v>
    <v>268435456</v>
    <v>1</v>
    <v>Da plataforma Refinitiv</v>
    <v>28</v>
    <v>29</v>
    <v>NEOS S&amp;P 500 High Income (BATS:SPYI)</v>
    <v>15</v>
    <v>11</v>
    <v>Finance</v>
    <v>12</v>
    <v>54.11</v>
    <v>47.77</v>
    <v>BATS</v>
    <v>53.26</v>
    <v>53.1</v>
    <v>0.70209999999999995</v>
    <v>CBOE BZX Exchange</v>
    <v>10068221685</v>
    <v>53.13</v>
    <v>46190.60557172422</v>
    <v>3114354</v>
    <v>USD</v>
    <v>NEOS S&amp;P 500 High Income</v>
    <v>53.2</v>
    <v>53.19</v>
    <v>SPYI</v>
    <v>6.8000000000000005E-3</v>
    <v>Fundos mais negociados</v>
    <v>NEOS S&amp;P 500 High Income (BATS:SPYI)</v>
    <v>0.06</v>
    <v>1.129E-3</v>
    <v>627936</v>
  </rv>
  <rv s="5">
    <v>58</v>
  </rv>
  <rv s="1">
    <v>https://www.bing.com/financeapi/forcetrigger?t=aplvoc&amp;q=BVMF%3aALUP11&amp;form=skydnc</v>
    <v>Learn more on Bing</v>
  </rv>
  <rv s="10">
    <v>pt-BR</v>
    <v>aplvoc</v>
    <v>268435456</v>
    <v>1</v>
    <v>Da plataforma Refinitiv</v>
    <v>25</v>
    <v>26</v>
    <v>ALUPAR UNT (BVMF:ALUP11)</v>
    <v>10</v>
    <v>27</v>
    <v>Finance</v>
    <v>6</v>
    <v>36.869999999999997</v>
    <v>27.89</v>
    <v>BVMF</v>
    <v>32.26</v>
    <v>31.74</v>
    <v>B3 - Brazil Stock Exchange</v>
    <v>31.95</v>
    <v>46190.595173611109</v>
    <v>60</v>
    <v>BRL</v>
    <v>ALUPAR UNT</v>
    <v>32</v>
    <v>31.9</v>
    <v>ALUP11</v>
    <v>Fundos mais negociados</v>
    <v>ALUPAR UNT (BVMF:ALUP11)</v>
    <v>-0.05</v>
    <v>-1.565E-3</v>
    <v>74500</v>
  </rv>
  <rv s="5">
    <v>61</v>
  </rv>
  <rv s="1">
    <v>https://www.bing.com/financeapi/forcetrigger?t=a25gmw&amp;q=ARCX%3aVNQ&amp;form=skydnc</v>
    <v>Learn more on Bing</v>
  </rv>
  <rv s="6">
    <v>pt-BR</v>
    <v>a25gmw</v>
    <v>268435456</v>
    <v>1</v>
    <v>Da plataforma Refinitiv</v>
    <v>8</v>
    <v>9</v>
    <v>Vanguard RE Idx;ETF (ARCX:VNQ)</v>
    <v>10</v>
    <v>11</v>
    <v>Finance</v>
    <v>12</v>
    <v>99.15</v>
    <v>86.84</v>
    <v>ARCX</v>
    <v>97.97</v>
    <v>97.37</v>
    <v>1.008</v>
    <v>NYSE Arca</v>
    <v>37043289720</v>
    <v>98.06</v>
    <v>46190.605582128905</v>
    <v>63</v>
    <v>3106958</v>
    <v>USD</v>
    <v>Vanguard RE Idx;ETF</v>
    <v>97.74</v>
    <v>97.635000000000005</v>
    <v>VNQ</v>
    <v>1.2999999999999999E-3</v>
    <v>Fundos mais negociados</v>
    <v>Vanguard RE Idx;ETF (ARCX:VNQ)</v>
    <v>-0.42499999999999999</v>
    <v>-4.3340000000000002E-3</v>
    <v>464729</v>
  </rv>
  <rv s="5">
    <v>64</v>
  </rv>
  <rv s="1">
    <v>https://www.bing.com/financeapi/forcetrigger?t=apmscw&amp;q=BVMF%3aITUB4&amp;form=skydnc</v>
    <v>Learn more on Bing</v>
  </rv>
  <rv s="8">
    <v>pt-BR</v>
    <v>apmscw</v>
    <v>268435456</v>
    <v>1</v>
    <v>Da plataforma Refinitiv</v>
    <v>17</v>
    <v>18</v>
    <v>Itaú Unibanco Holding S.A. (BVMF:ITUB4)</v>
    <v>19</v>
    <v>20</v>
    <v>Finance</v>
    <v>6</v>
    <v>49.18</v>
    <v>30.66</v>
    <v>BVMF</v>
    <v>11026870000</v>
    <v>41.29</v>
    <v>1943</v>
    <v>40.76</v>
    <v>1.1919999999999999</v>
    <v>B3 - Brazil Stock Exchange</v>
    <v>454307044000</v>
    <v>O Itau Unibanco Holding SA, anteriormente Banco Frances e Brasileiro SA, é uma provedora brasileira de serviços e produtos bancários e não bancários diversificados. As atividades da Companhia estão divididas em três segmentos de negócios: Varejo, Negócios por Atacado e Atividades com o Mercado e Corporações. A oferta do segmento de Negócios de Varejo inclui empréstimos pessoais, cartões de crédito, empréstimos deduzidos da folha de pagamento, financiamento de veículos, empréstimos hipotecários, seguros, planos de pensões e produtos de obrigações premium. O segmento de Negócios por Atacado oferece serviços e produtos para clientes bancários privados, como gestão de ativos, soluções de mercado de capitais, atividades bancárias corporativas e de investimento. As atividades com o segmento de Negócios Mercado e Corporações gerenciam os rendimentos de juros associados ao superávit de capital da Companhia, superávit de dívida subordinado e saldo líquido de créditos fiscais e débitos. O Itau Unibanco Holding atende pessoas físicas e clientes corporativos.</v>
    <v>BVMF</v>
    <v>40.450000000000003</v>
    <v>100600</v>
    <v>46190.595182187499</v>
    <v>66</v>
    <v>32424560</v>
    <v>BRL</v>
    <v>Itaú Unibanco Holding S.A.</v>
    <v>Itaú Unibanco Holding S.A.</v>
    <v>40.950000000000003</v>
    <v>41.2</v>
    <v>Praca Alfredo Egydio de Souza Aranha, 100, T. Olavo Setubal, Piso Itau Unibanco, Parque Jabaquara, SAO PAULO, SAO PAULO, 04.344-902 BR</v>
    <v>Banking Services</v>
    <v>ITUB4</v>
    <v>Ações</v>
    <v>Itaú Unibanco Holding S.A. (BVMF:ITUB4)</v>
    <v>0.75</v>
    <v>1.8541000000000002E-2</v>
    <v>4261200</v>
  </rv>
  <rv s="5">
    <v>67</v>
  </rv>
  <rv s="1">
    <v>https://www.bing.com/financeapi/forcetrigger?t=a1sh52&amp;q=ARCX%3aEWZ&amp;form=skydnc</v>
    <v>Learn more on Bing</v>
  </rv>
  <rv s="6">
    <v>pt-BR</v>
    <v>a1sh52</v>
    <v>268435456</v>
    <v>1</v>
    <v>Da plataforma Refinitiv</v>
    <v>8</v>
    <v>9</v>
    <v>iShares:MSCI Brazil (ARCX:EWZ)</v>
    <v>10</v>
    <v>11</v>
    <v>Finance</v>
    <v>12</v>
    <v>42.02</v>
    <v>26.3</v>
    <v>ARCX</v>
    <v>35.06</v>
    <v>34.76</v>
    <v>1.1292</v>
    <v>NYSE Arca</v>
    <v>10174738770.15</v>
    <v>34.409999999999997</v>
    <v>46190.605563032033</v>
    <v>69</v>
    <v>29218656</v>
    <v>USD</v>
    <v>iShares:MSCI Brazil</v>
    <v>34.770000000000003</v>
    <v>35.06</v>
    <v>EWZ</v>
    <v>5.8999999999999999E-3</v>
    <v>Fundos mais negociados</v>
    <v>iShares:MSCI Brazil (ARCX:EWZ)</v>
    <v>0.65</v>
    <v>1.8890000000000001E-2</v>
    <v>3199955</v>
  </rv>
  <rv s="5">
    <v>70</v>
  </rv>
  <rv s="1">
    <v>https://www.bing.com/financeapi/forcetrigger?t=apm327&amp;q=BVMF%3aBPAC11&amp;form=skydnc</v>
    <v>Learn more on Bing</v>
  </rv>
  <rv s="10">
    <v>pt-BR</v>
    <v>apm327</v>
    <v>268435456</v>
    <v>1</v>
    <v>Da plataforma Refinitiv</v>
    <v>25</v>
    <v>26</v>
    <v>BCO BTG PACTUAL UNT (BVMF:BPAC11)</v>
    <v>10</v>
    <v>27</v>
    <v>Finance</v>
    <v>6</v>
    <v>65.5</v>
    <v>37.07</v>
    <v>BVMF</v>
    <v>51.64</v>
    <v>50.77</v>
    <v>B3 - Brazil Stock Exchange</v>
    <v>50.7</v>
    <v>46190.59516203704</v>
    <v>72</v>
    <v>BRL</v>
    <v>BCO BTG PACTUAL UNT</v>
    <v>50.95</v>
    <v>51.13</v>
    <v>BPAC11</v>
    <v>Fundos mais negociados</v>
    <v>BCO BTG PACTUAL UNT (BVMF:BPAC11)</v>
    <v>0.43</v>
    <v>8.480999999999999E-3</v>
    <v>1155500</v>
  </rv>
  <rv s="5">
    <v>73</v>
  </rv>
  <rv s="1">
    <v>https://www.bing.com/financeapi/forcetrigger?t=amz5z2&amp;q=XSWX%3aBRK%2fB&amp;form=skydnc</v>
    <v>Learn more on Bing</v>
  </rv>
  <rv s="12">
    <v>pt-BR</v>
    <v>amz5z2</v>
    <v>268435456</v>
    <v>1</v>
    <v>Da plataforma Refinitiv</v>
    <v>30</v>
    <v>31</v>
    <v>BERKSHIRE HATHAWAY INC. (XSWX:BRK)</v>
    <v>19</v>
    <v>32</v>
    <v>Finance</v>
    <v>24</v>
    <v>408.72</v>
    <v>360.53</v>
    <v>XSWX</v>
    <v>1437900</v>
    <v>391.73</v>
    <v>1998</v>
    <v>387.2</v>
    <v>0.61</v>
    <v>SIX Swiss Exchange</v>
    <v>1075723000000</v>
    <v>A Berkshire Hathaway Inc. E suas subsidiárias estão envolvidas em diversas atividades comerciais, incluindo seguros e resseguros, serviços públicos e energia, transporte ferroviário de mercadorias, fabricação, serviços e varejo. Seus segmentos incluem Seguros, Burlington Northern Santa Fe (BNSF), Berkshire Hathaway Energy (BHE), Pilot Travel Centers (Pilot), Manufacturing, McLane Company (McLane) e Serviços e Varejo. O segmento de seguros inclui GEICO, Berkshire Hathaway Primary Group e Berkshire Hathaway Resseguros Group. O segmento BNSF inclui a operação de sistemas ferroviários na América do Norte. A BHE Segment oferece serviços regulados de energia elétrica e gás e atividades de corretagem imobiliária. O segmento de fabricação fabrica vários produtos, como produtos industriais, de consumo e de construção. O segmento McLane está envolvido na distribuição por atacado de mantimentos e itens não alimentares. O segmento Pilot é um operador de centros de viagens na América do Norte e um comerciante de combustível por atacado.</v>
    <v>XSWX</v>
    <v>392.54</v>
    <v>387800</v>
    <v>46190.594594907408</v>
    <v>75</v>
    <v>230</v>
    <v>CHF</v>
    <v>BERKSHIRE HATHAWAY INC.</v>
    <v>BERKSHIRE HATHAWAY INC.</v>
    <v>14.4415</v>
    <v>391.73</v>
    <v>387.61</v>
    <v>3555 Farnam Street, OMAHA, NE, 68131 US</v>
    <v>Consumer Goods Conglomerates</v>
    <v>BRK</v>
    <v>Ações</v>
    <v>BERKSHIRE HATHAWAY INC. (XSWX:BRK)</v>
    <v>-4.93</v>
    <v>-1.2559000000000001E-2</v>
    <v>130</v>
  </rv>
  <rv s="5">
    <v>76</v>
  </rv>
  <rv s="1">
    <v>https://www.bing.com/financeapi/forcetrigger?t=aplym7&amp;q=BVMF%3aBBDC4&amp;form=skydnc</v>
    <v>Learn more on Bing</v>
  </rv>
  <rv s="8">
    <v>pt-BR</v>
    <v>aplym7</v>
    <v>268435456</v>
    <v>1</v>
    <v>Da plataforma Refinitiv</v>
    <v>17</v>
    <v>18</v>
    <v>Banco Bradesco S.A. (BVMF:BBDC4)</v>
    <v>19</v>
    <v>20</v>
    <v>Finance</v>
    <v>6</v>
    <v>21.69</v>
    <v>14.31</v>
    <v>BVMF</v>
    <v>10592010000</v>
    <v>17.98</v>
    <v>1943</v>
    <v>17.72</v>
    <v>1.452</v>
    <v>B3 - Brazil Stock Exchange</v>
    <v>189385138800</v>
    <v>O Banco Bradesco SA é uma empresa brasileira que atua no setor de serviços bancários. A Companhia é um banco de múltiplos serviços, atuando principalmente em dois segmentos: Financeiro e de seguros. O segmento financeiro engloba diversas áreas do setor bancário, atendendo clientes individuais e corporativos, atuando como banco de investimentos em operações bancárias nacionais e internacionais, administração de fundos de investimento, administração de consórcios e gestão de ativos. O segmento de seguro inclui seguro de vida, planos de pensão complementares, saúde, acidentes e seguro de propriedade. A Empresa presta serviços a outras entidades que incluem gestão de ativos e serviços de tesouraria, transações cambiais, finanças corporativas e serviços bancários de investimento, operações de hedging e operações de financiamento, incluindo financiamento de capital de giro, leasing e crédito parcelado.</v>
    <v>BVMF</v>
    <v>17.66</v>
    <v>80348</v>
    <v>46190.59516203704</v>
    <v>78</v>
    <v>23000730</v>
    <v>BRL</v>
    <v>Banco Bradesco S.A.</v>
    <v>Banco Bradesco S.A.</v>
    <v>17.75</v>
    <v>17.88</v>
    <v>Nucleo Cidade de Deus s/n, Vila Yara, OSASCO, SAO PAULO, 06.029-900 BR</v>
    <v>Banking Services</v>
    <v>BBDC4</v>
    <v>Ações</v>
    <v>Banco Bradesco S.A. (BVMF:BBDC4)</v>
    <v>0.22</v>
    <v>1.2458E-2</v>
    <v>6102300</v>
  </rv>
  <rv s="5">
    <v>79</v>
  </rv>
  <rv s="1">
    <v>https://www.bing.com/financeapi/forcetrigger?t=aoakxm&amp;q=XLON%3aIUES&amp;form=skydnc</v>
    <v>Learn more on Bing</v>
  </rv>
  <rv s="13">
    <v>pt-BR</v>
    <v>aoakxm</v>
    <v>268435456</v>
    <v>1</v>
    <v>Da plataforma Refinitiv</v>
    <v>33</v>
    <v>34</v>
    <v>iShs S&amp;P 500 Enrg Sctr ETFUSDA (XLON:IUES)</v>
    <v>10</v>
    <v>35</v>
    <v>Finance</v>
    <v>36</v>
    <v>13.41</v>
    <v>8.64</v>
    <v>XLON</v>
    <v>11.57</v>
    <v>11.445</v>
    <v>1.0215000000000001</v>
    <v>London Stock Exchange</v>
    <v>1855808040.6199999</v>
    <v>11.545</v>
    <v>46190.594204675785</v>
    <v>81</v>
    <v>USD</v>
    <v>iShs S&amp;P 500 Enrg Sctr ETFUSDA</v>
    <v>11.49</v>
    <v>11.475</v>
    <v>IUES</v>
    <v>1.5E-3</v>
    <v>Fundos mais negociados</v>
    <v>iShs S&amp;P 500 Enrg Sctr ETFUSDA (XLON:IUES)</v>
    <v>-7.0000000000000007E-2</v>
    <v>-6.0629999999999998E-3</v>
    <v>502062</v>
  </rv>
  <rv s="5">
    <v>82</v>
  </rv>
  <rv s="1">
    <v>https://www.bing.com/financeapi/forcetrigger?t=apnatc&amp;q=BVMF%3aSANB11&amp;form=skydnc</v>
    <v>Learn more on Bing</v>
  </rv>
  <rv s="10">
    <v>pt-BR</v>
    <v>apnatc</v>
    <v>268435456</v>
    <v>1</v>
    <v>Da plataforma Refinitiv</v>
    <v>25</v>
    <v>26</v>
    <v>BCO SANTANDER UNT (BVMF:SANB11)</v>
    <v>10</v>
    <v>27</v>
    <v>Finance</v>
    <v>6</v>
    <v>37.19</v>
    <v>24.08</v>
    <v>BVMF</v>
    <v>27.6</v>
    <v>27.18</v>
    <v>B3 - Brazil Stock Exchange</v>
    <v>27.09</v>
    <v>46190.595161226564</v>
    <v>84</v>
    <v>BRL</v>
    <v>BCO SANTANDER UNT</v>
    <v>27.3</v>
    <v>27.47</v>
    <v>SANB11</v>
    <v>Fundos mais negociados</v>
    <v>BCO SANTANDER UNT (BVMF:SANB11)</v>
    <v>0.38</v>
    <v>1.4027000000000001E-2</v>
    <v>565300</v>
  </rv>
  <rv s="5">
    <v>85</v>
  </rv>
  <rv s="1">
    <v>https://www.bing.com/financeapi/forcetrigger?t=a25icw&amp;q=ARCX%3aVPU&amp;form=skydnc</v>
    <v>Learn more on Bing</v>
  </rv>
  <rv s="6">
    <v>pt-BR</v>
    <v>a25icw</v>
    <v>268435456</v>
    <v>1</v>
    <v>Da plataforma Refinitiv</v>
    <v>8</v>
    <v>9</v>
    <v>Vanguard Util Indx;ETF (ARCX:VPU)</v>
    <v>10</v>
    <v>11</v>
    <v>Finance</v>
    <v>12</v>
    <v>206.1</v>
    <v>172.66749999999999</v>
    <v>ARCX</v>
    <v>195.405</v>
    <v>194.15</v>
    <v>0.98350000000000004</v>
    <v>NYSE Arca</v>
    <v>8555560043</v>
    <v>195.09</v>
    <v>46190.605551318753</v>
    <v>87</v>
    <v>234233</v>
    <v>USD</v>
    <v>Vanguard Util Indx;ETF</v>
    <v>194.19</v>
    <v>194.5</v>
    <v>VPU</v>
    <v>8.9999999999999998E-4</v>
    <v>Fundos mais negociados</v>
    <v>Vanguard Util Indx;ETF (ARCX:VPU)</v>
    <v>-0.59</v>
    <v>-3.0240000000000002E-3</v>
    <v>46552</v>
  </rv>
  <rv s="5">
    <v>88</v>
  </rv>
  <rv s="1">
    <v>https://www.bing.com/financeapi/forcetrigger?t=apn75r&amp;q=BVMF%3aPSSA3&amp;form=skydnc</v>
    <v>Learn more on Bing</v>
  </rv>
  <rv s="8">
    <v>pt-BR</v>
    <v>apn75r</v>
    <v>268435456</v>
    <v>1</v>
    <v>Da plataforma Refinitiv</v>
    <v>17</v>
    <v>18</v>
    <v>Porto Seguro S.A. (BVMF:PSSA3)</v>
    <v>19</v>
    <v>20</v>
    <v>Finance</v>
    <v>6</v>
    <v>55.72</v>
    <v>43.32</v>
    <v>BVMF</v>
    <v>646586100</v>
    <v>51.66</v>
    <v>1997</v>
    <v>50.01</v>
    <v>0.79320000000000002</v>
    <v>B3 - Brazil Stock Exchange</v>
    <v>33363842760</v>
    <v>A Porto Seguro SA é uma holding sediada no Brasil. O objeto social da Companhia é deter ações ou ser sócio de outras empresas nacionais ou estrangeiras que se envolvam em cada linha de negócios relacionada a seguros, instituições financeiras, outras instituições similares e gestão de consórcios. A Companhia, por meio de suas subsidiárias, opera seguros de propriedade e acidentes, planos de previdência complementar na forma de planos de anuidade e anuidade, gerencia e vende títulos de capitalização, seguro saúde, planos de saúde privados, presta serviços de corretagem de seguros técnicos e presta serviços de consultoria administrativa para médicos e seguradoras de saúde, consultoria e consultoria em saúde ocupacional, segurança no trabalho, ergonomia e serviços ambulatoriais.</v>
    <v>BVMF</v>
    <v>50.56</v>
    <v>13491</v>
    <v>46190.595150462963</v>
    <v>90</v>
    <v>1409550</v>
    <v>BRL</v>
    <v>Porto Seguro S.A.</v>
    <v>Porto Seguro S.A.</v>
    <v>50.36</v>
    <v>51.6</v>
    <v>Alameda Barao de Piracicaba, 740 - Torre B, 11 andar, Campos Eliseos, SAO PAULO, SAO PAULO, 01.216-012 BR</v>
    <v>Insurance</v>
    <v>PSSA3</v>
    <v>Ações</v>
    <v>Porto Seguro S.A. (BVMF:PSSA3)</v>
    <v>1.04</v>
    <v>2.0569999999999998E-2</v>
    <v>165400</v>
  </rv>
  <rv s="5">
    <v>91</v>
  </rv>
  <rv s="1">
    <v>https://www.bing.com/financeapi/forcetrigger?t=apms77&amp;q=BVMF%3aITSA4&amp;form=skydnc</v>
    <v>Learn more on Bing</v>
  </rv>
  <rv s="8">
    <v>pt-BR</v>
    <v>apms77</v>
    <v>268435456</v>
    <v>1</v>
    <v>Da plataforma Refinitiv</v>
    <v>17</v>
    <v>18</v>
    <v>ITAÚSA S.A. (BVMF:ITSA4)</v>
    <v>19</v>
    <v>20</v>
    <v>Finance</v>
    <v>6</v>
    <v>15.21</v>
    <v>9.02</v>
    <v>BVMF</v>
    <v>11213690000</v>
    <v>13.1</v>
    <v>1966</v>
    <v>12.86</v>
    <v>1.1879999999999999</v>
    <v>B3 - Brazil Stock Exchange</v>
    <v>146450791400</v>
    <v>A Itausa SA, anteriormente a Itausa Investimentos, é uma holding de investimentos sediada no Brasil que atua através de suas subsidiárias. As atividades do Grupo estão divididas em dois setores: Financeiro e não financeiro. O setor financeiro inclui o Itau Unibanco, que fornece uma ampla gama de serviços e produtos bancários e não bancários a uma base de clientes diversificada, em três segmentos de negócios: Varejo, Negócios por Atacado e Atividades com o Mercado e Corporação. O setor não financeiro inclui a Aegea, prestadora de serviços de saneamento básico de utilidade pública, bem como a Dexco, que atua em duas áreas de negócio: Madeira e Acabamentos de Construção. A Itausa SA opera em mais de 50 países.</v>
    <v>BVMF</v>
    <v>12.86</v>
    <v>127000</v>
    <v>46190.595202279685</v>
    <v>93</v>
    <v>41250050</v>
    <v>BRL</v>
    <v>ITAÚSA S.A.</v>
    <v>ITAÚSA S.A.</v>
    <v>12.86</v>
    <v>13.06</v>
    <v>Avenida Paulista, 1938, 5 andar, Bela Vista, SAO PAULO, SAO PAULO, 01.310-200 BR</v>
    <v>Banking Services</v>
    <v>ITSA4</v>
    <v>Ações</v>
    <v>ITAÚSA S.A. (BVMF:ITSA4)</v>
    <v>0.2</v>
    <v>1.5552E-2</v>
    <v>7854100</v>
  </rv>
  <rv s="5">
    <v>94</v>
  </rv>
  <rv s="1">
    <v>https://www.bing.com/financeapi/forcetrigger?t=azh5a2&amp;q=BVMF%3aB3SA3&amp;form=skydnc</v>
    <v>Learn more on Bing</v>
  </rv>
  <rv s="8">
    <v>pt-BR</v>
    <v>azh5a2</v>
    <v>268435456</v>
    <v>1</v>
    <v>Da plataforma Refinitiv</v>
    <v>17</v>
    <v>18</v>
    <v>B3 S.A - Brasil, Bolsa, Balcão (BVMF:B3SA3)</v>
    <v>19</v>
    <v>20</v>
    <v>Finance</v>
    <v>6</v>
    <v>20.329999999999998</v>
    <v>11.67</v>
    <v>BVMF</v>
    <v>5046500000</v>
    <v>15.25</v>
    <v>2007</v>
    <v>14.98</v>
    <v>1.7275</v>
    <v>B3 - Brazil Stock Exchange</v>
    <v>75747965000</v>
    <v>B3 SA Brasil Bolsa Balcão, anteriormente BM &amp; F Bovespa SA Bolsa de Valores Mercadorias e Futuros, é uma fornecedora de infra-estruturaa de mercado financeiro no Brasil. As ofertas de serviços da Companhia varia entre negociação cambial, compensação e outros serviços pós-negociação e registro de transações de balcão (OTC). A Companhia também fornece um serviço de listagem e atua como depósito central de valores mobiliários (CSD). Desenvolve soluções de software e oferece serviços de licenciamento de índice. Seu negócio está dividido em quatro segmentos: Bovespa, que abrange a negociação, compensação e liquidação de ações e derivativos patrimoniais; BM &amp; F, que abrange a negociação, compensação e liquidação de derivativos financeiros e de mercadorias (commodities); Cetip Securities (Cetip UTVM), cobrindo os sistemas de registro, compensação, liquidação e custódia de títulos de renda fixa e derivados OTC e Cetip Financing (Cetip UFIN), que fornece um sistema eletrônico privado integrado para registro de empréstimos de veículos e imóveis.</v>
    <v>BVMF</v>
    <v>15.04</v>
    <v>2135</v>
    <v>46190.595176839844</v>
    <v>96</v>
    <v>45507780</v>
    <v>BRL</v>
    <v>B3 S.A - Brasil, Bolsa, Balcão</v>
    <v>B3 S.A - Brasil, Bolsa, Balcão</v>
    <v>15.25</v>
    <v>15.01</v>
    <v>Praca Antonio Prado, 48 7 andar, Centro, SAO PAULO, SAO PAULO, 01.010-901 BR</v>
    <v>Investment Banking &amp; Investment Services</v>
    <v>B3SA3</v>
    <v>Ações</v>
    <v>B3 S.A - Brasil, Bolsa, Balcão (BVMF:B3SA3)</v>
    <v>-0.03</v>
    <v>-1.9950000000000002E-3</v>
    <v>7650500</v>
  </rv>
  <rv s="5">
    <v>97</v>
  </rv>
  <rv s="1">
    <v>https://www.bing.com/financeapi/forcetrigger?t=apn6hw&amp;q=BVMF%3aPRIO3&amp;form=skydnc</v>
    <v>Learn more on Bing</v>
  </rv>
  <rv s="8">
    <v>pt-BR</v>
    <v>apn6hw</v>
    <v>268435456</v>
    <v>1</v>
    <v>Da plataforma Refinitiv</v>
    <v>17</v>
    <v>18</v>
    <v>PRIO S.A. (BVMF:PRIO3)</v>
    <v>19</v>
    <v>20</v>
    <v>Finance</v>
    <v>6</v>
    <v>72.98</v>
    <v>34.18</v>
    <v>BVMF</v>
    <v>872495200</v>
    <v>57.59</v>
    <v>2008</v>
    <v>56.72</v>
    <v>0.71789999999999998</v>
    <v>B3 - Brazil Stock Exchange</v>
    <v>49985250008</v>
    <v>A Prio SA, anteriormente Petro Rio SA, é uma holding sediada no Brasil. Atua através de suas subsidiárias e é especializada em gerenciamento eficiente de reservatórios e redesenvolvimento de campos maduros. A principal estratégia da Companhia é a aquisição de campos de petróleo e gás, geralmente de grandes empresas petrolíferas, e a criação de valor através da racionalização de custos, bem como a eficiência e a gestão meticulosa dos reservatórios. Os ativos da Prio SA incluem o Campo de Tubarao Martelo, que produz aproximadamente 10 000 barris de petróleo por dia através de seis poços interligados à FPSO Bravo, bem como Wahoo, um bloco exploratório na Bacia de Campos com potencial para produzir mais de 125 milhões de barris no pré-sal. A Companhia possui diversas subsidiárias, como a Petro Rio O&amp;G Exploracao e Producao de Petroleo Ltda e a PRIO Bravo Ltda.</v>
    <v>BVMF</v>
    <v>56.85</v>
    <v>90</v>
    <v>46190.595185185186</v>
    <v>99</v>
    <v>8941620</v>
    <v>BRL</v>
    <v>PRIO S.A.</v>
    <v>PRIO S.A.</v>
    <v>57.53</v>
    <v>57.29</v>
    <v>Praia De Botafogo, 370, : 1 Andar Parte;, Botafogo, RIO DE JANEIRO, RIO DE JANEIRO, 22.250-040 BR</v>
    <v>Oil &amp; Gas</v>
    <v>PRIO3</v>
    <v>Ações</v>
    <v>PRIO S.A. (BVMF:PRIO3)</v>
    <v>0.44</v>
    <v>7.7400000000000004E-3</v>
    <v>1248400</v>
  </rv>
  <rv s="5">
    <v>100</v>
  </rv>
  <rv s="1">
    <v>https://www.bing.com/financeapi/forcetrigger?t=bgmicw&amp;q=BVMF%3aDIVO11&amp;form=skydnc</v>
    <v>Learn more on Bing</v>
  </rv>
  <rv s="13">
    <v>pt-BR</v>
    <v>bgmicw</v>
    <v>268435456</v>
    <v>1</v>
    <v>Da plataforma Refinitiv</v>
    <v>33</v>
    <v>34</v>
    <v>IT Now IDIV Fundo de Indice (BVMF:DIVO11)</v>
    <v>10</v>
    <v>37</v>
    <v>Finance</v>
    <v>6</v>
    <v>142.37</v>
    <v>98.17</v>
    <v>BVMF</v>
    <v>123.58</v>
    <v>122.9</v>
    <v>0.88170000000000004</v>
    <v>B3 - Brazil Stock Exchange</v>
    <v>1923776773</v>
    <v>122.23</v>
    <v>46190.595192303124</v>
    <v>102</v>
    <v>BRL</v>
    <v>IT Now IDIV Fundo de Indice</v>
    <v>123.3</v>
    <v>123.14</v>
    <v>DIVO11</v>
    <v>5.0000000000000001E-3</v>
    <v>Fundos mais negociados</v>
    <v>IT Now IDIV Fundo de Indice (BVMF:DIVO11)</v>
    <v>0.91</v>
    <v>7.4450000000000002E-3</v>
    <v>19534</v>
  </rv>
  <rv s="5">
    <v>103</v>
  </rv>
  <rv s="1">
    <v>https://www.bing.com/financeapi/forcetrigger?t=c2yqkr&amp;q=BVMF%3aBITH11&amp;form=skydnc</v>
    <v>Learn more on Bing</v>
  </rv>
  <rv s="14">
    <v>pt-BR</v>
    <v>c2yqkr</v>
    <v>268435456</v>
    <v>1</v>
    <v>Da plataforma Refinitiv</v>
    <v>38</v>
    <v>39</v>
    <v>Hashdex Nsdq Btc Ref Price FDI (BVMF:BITH11)</v>
    <v>10</v>
    <v>40</v>
    <v>Finance</v>
    <v>6</v>
    <v>152.44999999999999</v>
    <v>69.05</v>
    <v>BVMF</v>
    <v>74.81</v>
    <v>74.17</v>
    <v>1.0807</v>
    <v>B3 - Brazil Stock Exchange</v>
    <v>1300182592.8499999</v>
    <v>75.64</v>
    <v>46190.595185185186</v>
    <v>105</v>
    <v>BRL</v>
    <v>Hashdex Nsdq Btc Ref Price FDI</v>
    <v>74.59</v>
    <v>74.78</v>
    <v>BITH11</v>
    <v>Fundos mais negociados</v>
    <v>Hashdex Nsdq Btc Ref Price FDI (BVMF:BITH11)</v>
    <v>-0.86</v>
    <v>-1.137E-2</v>
    <v>34516</v>
  </rv>
  <rv s="5">
    <v>106</v>
  </rv>
  <rv s="1">
    <v>https://www.bing.com/financeapi/forcetrigger?t=apnjsm&amp;q=BVMF%3aVALE3&amp;form=skydnc</v>
    <v>Learn more on Bing</v>
  </rv>
  <rv s="8">
    <v>pt-BR</v>
    <v>apnjsm</v>
    <v>268435456</v>
    <v>1</v>
    <v>Da plataforma Refinitiv</v>
    <v>17</v>
    <v>18</v>
    <v>VALE S.A. (BVMF:VALE3)</v>
    <v>19</v>
    <v>20</v>
    <v>Finance</v>
    <v>6</v>
    <v>91.62</v>
    <v>45.64</v>
    <v>BVMF</v>
    <v>4439160000</v>
    <v>80.849999999999994</v>
    <v>1943</v>
    <v>79.87</v>
    <v>0.68389999999999995</v>
    <v>B3 - Brazil Stock Exchange</v>
    <v>358595344800</v>
    <v>A Vale SA, antiga Companhia Vale do Rio Doce, é uma empresa brasileira de metal e mineração que atua principalmente na produção de minério de ferro e níquel. A empresa também produz pelotas de minério de ferro, cobre, metais do grupo platina (PGMs), ouro, prata e cobalto. A Vale está envolvida na exploração mineral verde em cinco países e opera sistemas logísticos no Brasil e em outras regiões do mundo, incluindo ferrovias, terminais marítimos e portos, que são integrados às operações de mineração. Além disso, a Vale possui centros de distribuição para apoiar a entrega de minério de ferro em todo o mundo. A Vale possui inúmeras subsidiárias, incluindo a Vale Logistica Uruguay SA, Vale Holdings BV, Vale Overseas Ltd As operações da Companhia no exterior abrangem aproximadamente 30 países.</v>
    <v>BVMF</v>
    <v>81.44</v>
    <v>65805</v>
    <v>46190.595173611109</v>
    <v>108</v>
    <v>17775790</v>
    <v>BRL</v>
    <v>VALE S.A.</v>
    <v>VALE S.A.</v>
    <v>80.349999999999994</v>
    <v>80.78</v>
    <v>Torre Oscar Niemeyer, Praia de Botafogo n 186 Salas 1101 1701 1801, Botafogo, RIO DE JANEIRO, RIO DE JANEIRO, 22.250-145 BR</v>
    <v>Metals &amp; Mining</v>
    <v>VALE3</v>
    <v>Ações</v>
    <v>VALE S.A. (BVMF:VALE3)</v>
    <v>-0.66</v>
    <v>-8.1040000000000001E-3</v>
    <v>4061100</v>
  </rv>
  <rv s="5">
    <v>109</v>
  </rv>
  <rv s="1">
    <v>https://www.bing.com/financeapi/forcetrigger?t=bjm7ww&amp;q=BVMF%3aSMAL11&amp;form=skydnc</v>
    <v>Learn more on Bing</v>
  </rv>
  <rv s="14">
    <v>pt-BR</v>
    <v>bjm7ww</v>
    <v>268435456</v>
    <v>1</v>
    <v>Da plataforma Refinitiv</v>
    <v>38</v>
    <v>39</v>
    <v>IShares BM&amp;FBovespa Small Cap (BVMF:SMAL11)</v>
    <v>10</v>
    <v>40</v>
    <v>Finance</v>
    <v>6</v>
    <v>130.44</v>
    <v>100.95</v>
    <v>BVMF</v>
    <v>107.77</v>
    <v>106.84</v>
    <v>0.99129999999999996</v>
    <v>B3 - Brazil Stock Exchange</v>
    <v>1661985769.1099999</v>
    <v>106.12</v>
    <v>46190.595173611109</v>
    <v>111</v>
    <v>BRL</v>
    <v>IShares BM&amp;FBovespa Small Cap</v>
    <v>107.44</v>
    <v>107.1</v>
    <v>SMAL11</v>
    <v>Fundos mais negociados</v>
    <v>IShares BM&amp;FBovespa Small Cap (BVMF:SMAL11)</v>
    <v>0.98</v>
    <v>9.2350000000000002E-3</v>
    <v>501719</v>
  </rv>
  <rv s="5">
    <v>112</v>
  </rv>
  <rv s="1">
    <v>https://www.bing.com/financeapi/forcetrigger?t=bx3d27&amp;q=BVMF%3aGOLD11&amp;form=skydnc</v>
    <v>Learn more on Bing</v>
  </rv>
  <rv s="14">
    <v>pt-BR</v>
    <v>bx3d27</v>
    <v>268435456</v>
    <v>1</v>
    <v>Da plataforma Refinitiv</v>
    <v>38</v>
    <v>39</v>
    <v>Trend ETF LBMA Ouro FIInd IE (BVMF:GOLD11)</v>
    <v>10</v>
    <v>40</v>
    <v>Finance</v>
    <v>6</v>
    <v>30.14</v>
    <v>18.63</v>
    <v>BVMF</v>
    <v>22.88</v>
    <v>22.73</v>
    <v>0.94930000000000003</v>
    <v>B3 - Brazil Stock Exchange</v>
    <v>3293057793.29</v>
    <v>22.87</v>
    <v>46190.595168899999</v>
    <v>114</v>
    <v>BRL</v>
    <v>Trend ETF LBMA Ouro FIInd IE</v>
    <v>22.87</v>
    <v>22.85</v>
    <v>GOLD11</v>
    <v>Fundos mais negociados</v>
    <v>Trend ETF LBMA Ouro FIInd IE (BVMF:GOLD11)</v>
    <v>-0.02</v>
    <v>-8.7449999999999995E-4</v>
    <v>52427</v>
  </rv>
  <rv s="5">
    <v>115</v>
  </rv>
  <rv s="1">
    <v>https://www.bing.com/financeapi/forcetrigger?t=apn9fr&amp;q=BVMF%3aRENT3&amp;form=skydnc</v>
    <v>Learn more on Bing</v>
  </rv>
  <rv s="8">
    <v>pt-BR</v>
    <v>apn9fr</v>
    <v>268435456</v>
    <v>1</v>
    <v>Da plataforma Refinitiv</v>
    <v>17</v>
    <v>18</v>
    <v>LOCALIZA RENT A CAR S.A. (BVMF:RENT3)</v>
    <v>19</v>
    <v>20</v>
    <v>Finance</v>
    <v>6</v>
    <v>53.35</v>
    <v>30.36</v>
    <v>BVMF</v>
    <v>1124259000</v>
    <v>41.71</v>
    <v>1973</v>
    <v>41</v>
    <v>1.4504999999999999</v>
    <v>B3 - Brazil Stock Exchange</v>
    <v>46533080010</v>
    <v>A Localiza Rent a Car S.A é uma empresa brasileira que se dedica sobretudo ao aluguel de carros e frotas. A empresa divide seus negócios em três setores: divisão de Aluguel de automóveis, que é responsável pelo aluguel de automóveis através de suas próprias agências; divisão de Aluguel de frotas, que se dedica ao aluguel de veículos de frota para empresas por longos períodos; e a divisão de Franchising, que atua na administração e concessão de direitos de franquia para uso da marca da empresa, incluindo a transferência de conhecimentos necessários para a operação do negócio. Através de sua subsidiária Prime Prestadora de Serviços S.A., a empresa também atua na intermediação de vendas de veículos previamente usados em suas operações de aluguel. Em 31 de dezembro de 2011, a rede da empresa, incluindo franquias nacionais e estrangeiras, compreendia 449 filiais em 314 cidades no Brasil e 47 filiais em 27 cidades em sete outros países da América do Sul.</v>
    <v>BVMF</v>
    <v>40.96</v>
    <v>23558</v>
    <v>46190.595173611109</v>
    <v>117</v>
    <v>9938730</v>
    <v>BRL</v>
    <v>LOCALIZA RENT A CAR S.A.</v>
    <v>LOCALIZA RENT A CAR S.A.</v>
    <v>41.56</v>
    <v>41.39</v>
    <v>Avenida Bernardo de Vasconcelos,377, Cachoeirinha, BELO HORIZONTE, MINAS GERAIS, 31.150-000 BR</v>
    <v>Passenger Transportation Services</v>
    <v>RENT3</v>
    <v>Ações</v>
    <v>LOCALIZA RENT A CAR S.A. (BVMF:RENT3)</v>
    <v>0.43</v>
    <v>1.0498E-2</v>
    <v>1020800</v>
  </rv>
  <rv s="5">
    <v>118</v>
  </rv>
  <rv s="15">
    <v>pt-BR</v>
    <v>ci4xmw</v>
    <v>268435456</v>
    <v>1</v>
    <v>Da plataforma Refinitiv</v>
    <v>41</v>
    <v>42</v>
    <v>Investo B3 Utilidade Pub FDI (BVMF:UTLL11)</v>
    <v>15</v>
    <v>43</v>
    <v>Finance</v>
    <v>6</v>
    <v>144.05000000000001</v>
    <v>97</v>
    <v>BVMF</v>
    <v>121.79</v>
    <v>120.7</v>
    <v>B3 - Brazil Stock Exchange</v>
    <v>101590367.64</v>
    <v>120.09</v>
    <v>46190.59516203704</v>
    <v>BRL</v>
    <v>Investo B3 Utilidade Pub FDI</v>
    <v>120.83</v>
    <v>120.88</v>
    <v>UTLL11</v>
    <v>Fundos mais negociados</v>
    <v>Investo B3 Utilidade Pub FDI (BVMF:UTLL11)</v>
    <v>0.79</v>
    <v>6.5780000000000005E-3</v>
    <v>263</v>
  </rv>
  <rv s="5">
    <v>120</v>
  </rv>
  <rv s="1">
    <v>https://www.bing.com/financeapi/forcetrigger?t=apnlim&amp;q=BVMF%3aWEGE3&amp;form=skydnc</v>
    <v>Learn more on Bing</v>
  </rv>
  <rv s="8">
    <v>pt-BR</v>
    <v>apnlim</v>
    <v>268435456</v>
    <v>1</v>
    <v>Da plataforma Refinitiv</v>
    <v>17</v>
    <v>18</v>
    <v>WEG S.A. (BVMF:WEGE3)</v>
    <v>19</v>
    <v>20</v>
    <v>Finance</v>
    <v>6</v>
    <v>54.41</v>
    <v>33.85</v>
    <v>BVMF</v>
    <v>4197318000</v>
    <v>44.23</v>
    <v>1961</v>
    <v>42.6</v>
    <v>0.5504</v>
    <v>B3 - Brazil Stock Exchange</v>
    <v>184430152920</v>
    <v>A WEG SA é uma holding sediada no Brasil que tem por objetivo principal a fabricação de equipamentos e componentes elétricos. A Companhia atua, juntamente com suas subsidiárias, na fabricação e comercialização de mercadorias, tais como motores elétricos, geradores e transformadores; redutores, redutores de engrenagem, inversores de frequência, motores de partida e dispositivos de manobra; controle e proteção de circuitos elétricos e automação industrial; soluções de tração elétrica (terrestre e marítima); soluções para geração de energia renovável e distribuída, explorando todas as oportunidades em pequenas centrais hidrelétricas e fontes de biomassa térmica, eólica e solar; no-breaks e alternadores para grupos de geradores; subestações elétricas; sistemas de equipamentos elétricos e eletrônicos industriais e tintas e vernizes industriais. Atua no Brasil, Argentina, México, Estados Unidos, Portugal, Áustria, África do Sul, Índia e China. Opera por meio da Bluffton Motor Works LLC.</v>
    <v>BVMF</v>
    <v>42.83</v>
    <v>49258</v>
    <v>46190.59516203704</v>
    <v>122</v>
    <v>10460890</v>
    <v>BRL</v>
    <v>WEG S.A.</v>
    <v>WEG S.A.</v>
    <v>42.62</v>
    <v>43.94</v>
    <v>Av. Prefeito Waldemar Grubba,3300, Vila Lalau, JARAGUA DO SUL, SANTA CATARINA, 89.256-900 BR</v>
    <v>Machinery, Equipment &amp; Components</v>
    <v>WEGE3</v>
    <v>Ações</v>
    <v>WEG S.A. (BVMF:WEGE3)</v>
    <v>1.1100000000000001</v>
    <v>2.5916000000000002E-2</v>
    <v>1520300</v>
  </rv>
  <rv s="5">
    <v>123</v>
  </rv>
  <rv s="15">
    <v>pt-BR</v>
    <v>cdg3jc</v>
    <v>268435456</v>
    <v>1</v>
    <v>Da plataforma Refinitiv</v>
    <v>41</v>
    <v>42</v>
    <v>It Now IDIV Renda Dividendos FDI (BVMF:DIVD11)</v>
    <v>15</v>
    <v>43</v>
    <v>Finance</v>
    <v>6</v>
    <v>70.95</v>
    <v>51.77</v>
    <v>BVMF</v>
    <v>61.07</v>
    <v>60.56</v>
    <v>B3 - Brazil Stock Exchange</v>
    <v>169382657.09999999</v>
    <v>60.37</v>
    <v>46190.595150462963</v>
    <v>BRL</v>
    <v>It Now IDIV Renda Dividendos FDI</v>
    <v>60.77</v>
    <v>60.8</v>
    <v>DIVD11</v>
    <v>Fundos mais negociados</v>
    <v>It Now IDIV Renda Dividendos FDI (BVMF:DIVD11)</v>
    <v>0.43</v>
    <v>7.1230000000000009E-3</v>
    <v>1877</v>
  </rv>
  <rv s="5">
    <v>125</v>
  </rv>
  <rv s="1">
    <v>https://www.bing.com/financeapi/forcetrigger?t=bx5gim&amp;q=BVMF%3aXINA11&amp;form=skydnc</v>
    <v>Learn more on Bing</v>
  </rv>
  <rv s="14">
    <v>pt-BR</v>
    <v>bx5gim</v>
    <v>268435456</v>
    <v>1</v>
    <v>Da plataforma Refinitiv</v>
    <v>38</v>
    <v>39</v>
    <v>Trd ETF MSCI Chi FI Indice IE (BVMF:XINA11)</v>
    <v>10</v>
    <v>40</v>
    <v>Finance</v>
    <v>6</v>
    <v>9.26</v>
    <v>7.03</v>
    <v>BVMF</v>
    <v>7.11</v>
    <v>7.05</v>
    <v>0.91500000000000004</v>
    <v>B3 - Brazil Stock Exchange</v>
    <v>175722778.93000001</v>
    <v>7.14</v>
    <v>46190.594426631251</v>
    <v>127</v>
    <v>BRL</v>
    <v>Trd ETF MSCI Chi FI Indice IE</v>
    <v>7.11</v>
    <v>7.1</v>
    <v>XINA11</v>
    <v>Fundos mais negociados</v>
    <v>Trd ETF MSCI Chi FI Indice IE (BVMF:XINA11)</v>
    <v>-0.04</v>
    <v>-5.6020000000000002E-3</v>
    <v>27321</v>
  </rv>
  <rv s="5">
    <v>128</v>
  </rv>
  <rv s="1">
    <v>https://www.bing.com/financeapi/forcetrigger?t=apltyc&amp;q=BVMF%3aABEV3&amp;form=skydnc</v>
    <v>Learn more on Bing</v>
  </rv>
  <rv s="8">
    <v>pt-BR</v>
    <v>apltyc</v>
    <v>268435456</v>
    <v>1</v>
    <v>Da plataforma Refinitiv</v>
    <v>17</v>
    <v>18</v>
    <v>Ambev S.A. (BVMF:ABEV3)</v>
    <v>19</v>
    <v>20</v>
    <v>Finance</v>
    <v>6</v>
    <v>17.04</v>
    <v>11</v>
    <v>BVMF</v>
    <v>15763670000</v>
    <v>16.71</v>
    <v>2005</v>
    <v>16.309999999999999</v>
    <v>0.43719999999999998</v>
    <v>B3 - Brazil Stock Exchange</v>
    <v>260573465100</v>
    <v>A Ambev SA, anteriormente Inbev Participações Societarias SA, é uma empresa brasileira com sede no setor cervejeiro. A Companhia produz, distribui e vende cerveja, refrigerantes com gás (CSDs) e outras bebidas não alcoólicas e não carbonatadas (NANC) nas Américas. As atividades da Companhia estão divididas em três segmentos: América Latina do Norte, incluindo venda de cerveja, refrigerantes e bebidas NANC no Brasil, além de operações na República Dominicana, São Vicente, Antígua, Dominica, Cuba, Guatemala, El Salvador, Honduras, Nicarágua, Barbados e Panamá; América Latina Sul, distribuindo produtos na Argentina, Bolívia, Paraguai, Uruguai, Chile; e Canadá, representado pelas operações da Labatt, que inclui vendas no Canadá e algumas exportações para o mercado dos EUA. A Companhia comercializa produtos com várias marcas, como Adriatica, Brahma, Leffe, Budweiser, Corona, PepsiCo e Lipton. É uma subsidiária da Interbrew International BV.</v>
    <v>BVMF</v>
    <v>16.440000000000001</v>
    <v>39000</v>
    <v>46190.59516203704</v>
    <v>130</v>
    <v>20831660</v>
    <v>BRL</v>
    <v>Ambev S.A.</v>
    <v>Ambev S.A.</v>
    <v>16.36</v>
    <v>16.53</v>
    <v>Rua Dr. Renato Paes de Barros, 1.017, 4 andar, Itaim Bibi, SAO PAULO, SAO PAULO, 04.530-001 BR</v>
    <v>Beverages</v>
    <v>ABEV3</v>
    <v>Ações</v>
    <v>Ambev S.A. (BVMF:ABEV3)</v>
    <v>0.09</v>
    <v>5.4739999999999997E-3</v>
    <v>3885900</v>
  </rv>
  <rv s="5">
    <v>131</v>
  </rv>
  <rv s="1">
    <v>https://www.bing.com/financeapi/forcetrigger?t=bgn377&amp;q=BVMF%3aIVVB11&amp;form=skydnc</v>
    <v>Learn more on Bing</v>
  </rv>
  <rv s="14">
    <v>pt-BR</v>
    <v>bgn377</v>
    <v>268435456</v>
    <v>1</v>
    <v>Da plataforma Refinitiv</v>
    <v>38</v>
    <v>39</v>
    <v>iShares S&amp;P 500 FIC FI IE (BVMF:IVVB11)</v>
    <v>10</v>
    <v>40</v>
    <v>Finance</v>
    <v>6</v>
    <v>436.21</v>
    <v>367.34</v>
    <v>BVMF</v>
    <v>431.73</v>
    <v>428.8</v>
    <v>1.0089999999999999</v>
    <v>B3 - Brazil Stock Exchange</v>
    <v>7175437796.2799997</v>
    <v>430.8</v>
    <v>46190.595185185186</v>
    <v>133</v>
    <v>BRL</v>
    <v>iShares S&amp;P 500 FIC FI IE</v>
    <v>431</v>
    <v>429.62</v>
    <v>IVVB11</v>
    <v>Fundos mais negociados</v>
    <v>iShares S&amp;P 500 FIC FI IE (BVMF:IVVB11)</v>
    <v>-1.18</v>
    <v>-2.7389999999999997E-3</v>
    <v>12281</v>
  </rv>
  <rv s="5">
    <v>134</v>
  </rv>
  <rv s="1">
    <v>https://www.bing.com/financeapi/forcetrigger?t=c27dgh&amp;q=BVMF%3aNASD11&amp;form=skydnc</v>
    <v>Learn more on Bing</v>
  </rv>
  <rv s="14">
    <v>pt-BR</v>
    <v>c27dgh</v>
    <v>268435456</v>
    <v>1</v>
    <v>Da plataforma Refinitiv</v>
    <v>38</v>
    <v>39</v>
    <v>Trend ETF Nq100 FI Ind Inv Ext (BVMF:NASD11)</v>
    <v>10</v>
    <v>40</v>
    <v>Finance</v>
    <v>6</v>
    <v>21.8</v>
    <v>16.559999999999999</v>
    <v>BVMF</v>
    <v>21.36</v>
    <v>21.16</v>
    <v>1.2297</v>
    <v>B3 - Brazil Stock Exchange</v>
    <v>976242881.09000003</v>
    <v>21.25</v>
    <v>46190.595173611109</v>
    <v>136</v>
    <v>BRL</v>
    <v>Trend ETF Nq100 FI Ind Inv Ext</v>
    <v>21.36</v>
    <v>21.26</v>
    <v>NASD11</v>
    <v>Fundos mais negociados</v>
    <v>Trend ETF Nq100 FI Ind Inv Ext (BVMF:NASD11)</v>
    <v>0.01</v>
    <v>4.706E-4</v>
    <v>100353</v>
  </rv>
  <rv s="5">
    <v>137</v>
  </rv>
  <rv s="15">
    <v>pt-BR</v>
    <v>cbhjww</v>
    <v>268435456</v>
    <v>1</v>
    <v>Da plataforma Refinitiv</v>
    <v>41</v>
    <v>42</v>
    <v>Buena Vista US High Income ETF (BVMF:SPYI11)</v>
    <v>15</v>
    <v>43</v>
    <v>Finance</v>
    <v>6</v>
    <v>118.37</v>
    <v>99.24</v>
    <v>BVMF</v>
    <v>107.1</v>
    <v>106.28</v>
    <v>B3 - Brazil Stock Exchange</v>
    <v>274592893.20999998</v>
    <v>107</v>
    <v>46190.595173611109</v>
    <v>BRL</v>
    <v>Buena Vista US High Income ETF</v>
    <v>107.1</v>
    <v>106.5</v>
    <v>SPYI11</v>
    <v>Fundos mais negociados</v>
    <v>Buena Vista US High Income ETF (BVMF:SPYI11)</v>
    <v>-0.5</v>
    <v>-4.6730000000000001E-3</v>
    <v>1642</v>
  </rv>
  <rv s="5">
    <v>139</v>
  </rv>
  <rv s="1">
    <v>https://www.bing.com/financeapi/forcetrigger?t=c3wn3m&amp;q=BVMF%3aALUG11&amp;form=skydnc</v>
    <v>Learn more on Bing</v>
  </rv>
  <rv s="14">
    <v>pt-BR</v>
    <v>c3wn3m</v>
    <v>268435456</v>
    <v>1</v>
    <v>Da plataforma Refinitiv</v>
    <v>38</v>
    <v>39</v>
    <v>Investo ETF MSCI US RE ETF FDI (BVMF:ALUG11)</v>
    <v>10</v>
    <v>40</v>
    <v>Finance</v>
    <v>6</v>
    <v>43.4</v>
    <v>38.61</v>
    <v>BVMF</v>
    <v>42.4</v>
    <v>41.95</v>
    <v>1.0104</v>
    <v>B3 - Brazil Stock Exchange</v>
    <v>71082371.870000005</v>
    <v>42.4</v>
    <v>46190.595138888886</v>
    <v>141</v>
    <v>BRL</v>
    <v>Investo ETF MSCI US RE ETF FDI</v>
    <v>42.4</v>
    <v>41.99</v>
    <v>ALUG11</v>
    <v>Fundos mais negociados</v>
    <v>Investo ETF MSCI US RE ETF FDI (BVMF:ALUG11)</v>
    <v>-0.41</v>
    <v>-9.6699999999999998E-3</v>
    <v>2897</v>
  </rv>
  <rv s="5">
    <v>142</v>
  </rv>
  <rv s="1">
    <v>https://www.bing.com/financeapi/forcetrigger?t=c2vo2w&amp;q=BVMF%3aUSTK11&amp;form=skydnc</v>
    <v>Learn more on Bing</v>
  </rv>
  <rv s="14">
    <v>pt-BR</v>
    <v>c2vo2w</v>
    <v>268435456</v>
    <v>1</v>
    <v>Da plataforma Refinitiv</v>
    <v>38</v>
    <v>39</v>
    <v>Investo ETF MSCI US Tech FDI (BVMF:USTK11)</v>
    <v>10</v>
    <v>40</v>
    <v>Finance</v>
    <v>6</v>
    <v>22.88</v>
    <v>15.31</v>
    <v>BVMF</v>
    <v>21.81</v>
    <v>21.48</v>
    <v>1.014</v>
    <v>B3 - Brazil Stock Exchange</v>
    <v>47684710.890000001</v>
    <v>21.45</v>
    <v>46190.59516203704</v>
    <v>144</v>
    <v>BRL</v>
    <v>Investo ETF MSCI US Tech FDI</v>
    <v>21.67</v>
    <v>21.52</v>
    <v>USTK11</v>
    <v>Fundos mais negociados</v>
    <v>Investo ETF MSCI US Tech FDI (BVMF:USTK11)</v>
    <v>7.0000000000000007E-2</v>
    <v>3.2629999999999998E-3</v>
    <v>4353</v>
  </rv>
  <rv s="5">
    <v>145</v>
  </rv>
  <rv s="1">
    <v>https://www.bing.com/financeapi/forcetrigger?t=bswvm7&amp;q=BVMF%3aBTLG11&amp;form=skydnc</v>
    <v>Learn more on Bing</v>
  </rv>
  <rv s="10">
    <v>pt-BR</v>
    <v>bswvm7</v>
    <v>268435456</v>
    <v>1</v>
    <v>Da plataforma Refinitiv</v>
    <v>25</v>
    <v>26</v>
    <v>BTG PACTUAL LOGISTICA FDO INV IMOB - FII ETF (BVMF:BTLG11)</v>
    <v>10</v>
    <v>27</v>
    <v>Finance</v>
    <v>6</v>
    <v>103.28</v>
    <v>89.98</v>
    <v>BVMF</v>
    <v>102.54</v>
    <v>102.31</v>
    <v>B3 - Brazil Stock Exchange</v>
    <v>102.54</v>
    <v>46190.59494054375</v>
    <v>147</v>
    <v>BRL</v>
    <v>BTG PACTUAL LOGISTICA FDO INV IMOB - FII ETF</v>
    <v>102.54</v>
    <v>102.37</v>
    <v>BTLG11</v>
    <v>Fundos mais negociados</v>
    <v>BTG PACTUAL LOGISTICA FDO INV IMOB - FII ETF (BVMF:BTLG11)</v>
    <v>-0.17</v>
    <v>-1.658E-3</v>
    <v>14198</v>
  </rv>
  <rv s="5">
    <v>148</v>
  </rv>
  <rv s="1">
    <v>https://www.bing.com/financeapi/forcetrigger?t=c4w2z2&amp;q=BVMF%3aKNCA11&amp;form=skydnc</v>
    <v>Learn more on Bing</v>
  </rv>
  <rv s="10">
    <v>pt-BR</v>
    <v>c4w2z2</v>
    <v>268435456</v>
    <v>1</v>
    <v>Da plataforma Refinitiv</v>
    <v>25</v>
    <v>26</v>
    <v>KINEA CREDITO AGRO FIAGRO IMOB CEF (BVMF:KNCA11)</v>
    <v>10</v>
    <v>27</v>
    <v>Finance</v>
    <v>6</v>
    <v>100.49</v>
    <v>90.26</v>
    <v>BVMF</v>
    <v>93.36</v>
    <v>92.99</v>
    <v>B3 - Brazil Stock Exchange</v>
    <v>92.91</v>
    <v>46190.59514521953</v>
    <v>150</v>
    <v>BRL</v>
    <v>KINEA CREDITO AGRO FIAGRO IMOB CEF</v>
    <v>93</v>
    <v>93.05</v>
    <v>KNCA11</v>
    <v>Fundos mais negociados</v>
    <v>KINEA CREDITO AGRO FIAGRO IMOB CEF (BVMF:KNCA11)</v>
    <v>0.14000000000000001</v>
    <v>1.5070000000000001E-3</v>
    <v>3333</v>
  </rv>
  <rv s="5">
    <v>151</v>
  </rv>
  <rv s="1">
    <v>https://www.bing.com/financeapi/forcetrigger?t=apmqh7&amp;q=BVMF%3aHGLG11&amp;form=skydnc</v>
    <v>Learn more on Bing</v>
  </rv>
  <rv s="10">
    <v>pt-BR</v>
    <v>apmqh7</v>
    <v>268435456</v>
    <v>1</v>
    <v>Da plataforma Refinitiv</v>
    <v>25</v>
    <v>26</v>
    <v>FDO INV IMOB CSHG LOGISTICA CF (BVMF:HGLG11)</v>
    <v>10</v>
    <v>27</v>
    <v>Finance</v>
    <v>6</v>
    <v>156.44</v>
    <v>140.4</v>
    <v>BVMF</v>
    <v>152.49</v>
    <v>151.30000000000001</v>
    <v>B3 - Brazil Stock Exchange</v>
    <v>151.94</v>
    <v>46190.595139617966</v>
    <v>153</v>
    <v>BRL</v>
    <v>FDO INV IMOB CSHG LOGISTICA CF</v>
    <v>152.49</v>
    <v>151.80000000000001</v>
    <v>HGLG11</v>
    <v>Fundos mais negociados</v>
    <v>FDO INV IMOB CSHG LOGISTICA CF (BVMF:HGLG11)</v>
    <v>-0.14000000000000001</v>
    <v>-9.2139999999999995E-4</v>
    <v>17537</v>
  </rv>
  <rv s="5">
    <v>154</v>
  </rv>
  <rv s="1">
    <v>https://www.bing.com/financeapi/forcetrigger?t=c5gxf2&amp;q=BVMF%3aRURA11&amp;form=skydnc</v>
    <v>Learn more on Bing</v>
  </rv>
  <rv s="10">
    <v>pt-BR</v>
    <v>c5gxf2</v>
    <v>268435456</v>
    <v>1</v>
    <v>Da plataforma Refinitiv</v>
    <v>25</v>
    <v>26</v>
    <v>ITAU ASSET RURAL FIAGRO CF (BVMF:RURA11)</v>
    <v>10</v>
    <v>27</v>
    <v>Finance</v>
    <v>6</v>
    <v>9.34</v>
    <v>8</v>
    <v>BVMF</v>
    <v>8.5</v>
    <v>8.39</v>
    <v>B3 - Brazil Stock Exchange</v>
    <v>8.42</v>
    <v>46190.595211064065</v>
    <v>156</v>
    <v>BRL</v>
    <v>ITAU ASSET RURAL FIAGRO CF</v>
    <v>8.4600000000000009</v>
    <v>8.41</v>
    <v>RURA11</v>
    <v>Fundos mais negociados</v>
    <v>ITAU ASSET RURAL FIAGRO CF (BVMF:RURA11)</v>
    <v>-0.01</v>
    <v>-1.188E-3</v>
    <v>72962</v>
  </rv>
  <rv s="5">
    <v>157</v>
  </rv>
  <rv s="1">
    <v>https://www.bing.com/financeapi/forcetrigger?t=bgly3m&amp;q=BVMF%3aXPML11&amp;form=skydnc</v>
    <v>Learn more on Bing</v>
  </rv>
  <rv s="10">
    <v>pt-BR</v>
    <v>bgly3m</v>
    <v>268435456</v>
    <v>1</v>
    <v>Da plataforma Refinitiv</v>
    <v>25</v>
    <v>26</v>
    <v>XP MALLS FDO INV IMOB FII ETF (BVMF:XPML11)</v>
    <v>10</v>
    <v>27</v>
    <v>Finance</v>
    <v>6</v>
    <v>110.9</v>
    <v>90.97</v>
    <v>BVMF</v>
    <v>105.64</v>
    <v>105.12</v>
    <v>B3 - Brazil Stock Exchange</v>
    <v>105.07</v>
    <v>46190.595185185186</v>
    <v>159</v>
    <v>BRL</v>
    <v>XP MALLS FDO INV IMOB FII ETF</v>
    <v>105.35</v>
    <v>105.55</v>
    <v>XPML11</v>
    <v>Fundos mais negociados</v>
    <v>XP MALLS FDO INV IMOB FII ETF (BVMF:XPML11)</v>
    <v>0.48</v>
    <v>4.568E-3</v>
    <v>21930</v>
  </rv>
  <rv s="5">
    <v>160</v>
  </rv>
  <rv s="1">
    <v>https://www.bing.com/financeapi/forcetrigger?t=bwg44c&amp;q=BVMF%3aRZTR11&amp;form=skydnc</v>
    <v>Learn more on Bing</v>
  </rv>
  <rv s="10">
    <v>pt-BR</v>
    <v>bwg44c</v>
    <v>268435456</v>
    <v>1</v>
    <v>Da plataforma Refinitiv</v>
    <v>25</v>
    <v>26</v>
    <v>FDO DE INV IMOB RIZA TERRAX CF (BVMF:RZTR11)</v>
    <v>10</v>
    <v>27</v>
    <v>Finance</v>
    <v>6</v>
    <v>94.14</v>
    <v>79.34</v>
    <v>BVMF</v>
    <v>90.3</v>
    <v>89.73</v>
    <v>B3 - Brazil Stock Exchange</v>
    <v>90</v>
    <v>46190.595096353907</v>
    <v>162</v>
    <v>BRL</v>
    <v>FDO DE INV IMOB RIZA TERRAX CF</v>
    <v>90</v>
    <v>89.84</v>
    <v>RZTR11</v>
    <v>Fundos mais negociados</v>
    <v>FDO DE INV IMOB RIZA TERRAX CF (BVMF:RZTR11)</v>
    <v>-0.16</v>
    <v>-1.7780000000000001E-3</v>
    <v>4084</v>
  </rv>
  <rv s="5">
    <v>163</v>
  </rv>
  <rv s="1">
    <v>https://www.bing.com/financeapi/forcetrigger?t=apmuh7&amp;q=BVMF%3aKNRI11&amp;form=skydnc</v>
    <v>Learn more on Bing</v>
  </rv>
  <rv s="10">
    <v>pt-BR</v>
    <v>apmuh7</v>
    <v>268435456</v>
    <v>1</v>
    <v>Da plataforma Refinitiv</v>
    <v>25</v>
    <v>26</v>
    <v>FDO INV IMOB KINEA RENDA IMOBILIARIA CF (BVMF:KNRI11)</v>
    <v>10</v>
    <v>27</v>
    <v>Finance</v>
    <v>6</v>
    <v>169.17</v>
    <v>128.06</v>
    <v>BVMF</v>
    <v>156.97</v>
    <v>156.25</v>
    <v>B3 - Brazil Stock Exchange</v>
    <v>156.21</v>
    <v>46190.595023148147</v>
    <v>165</v>
    <v>BRL</v>
    <v>FDO INV IMOB KINEA RENDA IMOBILIARIA CF</v>
    <v>156.9</v>
    <v>156.30000000000001</v>
    <v>KNRI11</v>
    <v>Fundos mais negociados</v>
    <v>FDO INV IMOB KINEA RENDA IMOBILIARIA CF (BVMF:KNRI11)</v>
    <v>0.09</v>
    <v>5.7609999999999996E-4</v>
    <v>4156</v>
  </rv>
  <rv s="5">
    <v>166</v>
  </rv>
  <rv s="1">
    <v>https://www.bing.com/financeapi/forcetrigger?t=bgmff2&amp;q=BVMF%3aHGRU11&amp;form=skydnc</v>
    <v>Learn more on Bing</v>
  </rv>
  <rv s="10">
    <v>pt-BR</v>
    <v>bgmff2</v>
    <v>268435456</v>
    <v>1</v>
    <v>Da plataforma Refinitiv</v>
    <v>25</v>
    <v>26</v>
    <v>CSHG RENDA URBANA FII CF (BVMF:HGRU11)</v>
    <v>10</v>
    <v>27</v>
    <v>Finance</v>
    <v>6</v>
    <v>131.76</v>
    <v>110.88</v>
    <v>BVMF</v>
    <v>129.28</v>
    <v>128.75</v>
    <v>B3 - Brazil Stock Exchange</v>
    <v>128.87</v>
    <v>46190.595069444447</v>
    <v>168</v>
    <v>BRL</v>
    <v>CSHG RENDA URBANA FII CF</v>
    <v>129.02000000000001</v>
    <v>128.88999999999999</v>
    <v>HGRU11</v>
    <v>Fundos mais negociados</v>
    <v>CSHG RENDA URBANA FII CF (BVMF:HGRU11)</v>
    <v>0.02</v>
    <v>1.552E-4</v>
    <v>4998</v>
  </rv>
  <rv s="5">
    <v>169</v>
  </rv>
  <rv s="1">
    <v>https://www.bing.com/financeapi/forcetrigger?t=bglxzr&amp;q=BVMF%3aXPLG11&amp;form=skydnc</v>
    <v>Learn more on Bing</v>
  </rv>
  <rv s="10">
    <v>pt-BR</v>
    <v>bglxzr</v>
    <v>268435456</v>
    <v>1</v>
    <v>Da plataforma Refinitiv</v>
    <v>25</v>
    <v>26</v>
    <v>XP LOG FDO INV IMOB CF (BVMF:XPLG11)</v>
    <v>10</v>
    <v>27</v>
    <v>Finance</v>
    <v>6</v>
    <v>101.72</v>
    <v>87.67</v>
    <v>BVMF</v>
    <v>92.99</v>
    <v>92.54</v>
    <v>B3 - Brazil Stock Exchange</v>
    <v>92.6</v>
    <v>46190.595169108594</v>
    <v>171</v>
    <v>BRL</v>
    <v>XP LOG FDO INV IMOB CF</v>
    <v>92.99</v>
    <v>92.59</v>
    <v>XPLG11</v>
    <v>Fundos mais negociados</v>
    <v>XP LOG FDO INV IMOB CF (BVMF:XPLG11)</v>
    <v>-0.01</v>
    <v>-1.0800000000000001E-4</v>
    <v>13288</v>
  </rv>
  <rv s="5">
    <v>172</v>
  </rv>
  <rv s="1">
    <v>https://www.bing.com/financeapi/forcetrigger?t=bo1827&amp;q=BVMF%3aLVBI11&amp;form=skydnc</v>
    <v>Learn more on Bing</v>
  </rv>
  <rv s="10">
    <v>pt-BR</v>
    <v>bo1827</v>
    <v>268435456</v>
    <v>1</v>
    <v>Da plataforma Refinitiv</v>
    <v>25</v>
    <v>26</v>
    <v>FDO INV IMOB VBI LOGISTICO ETF (BVMF:LVBI11)</v>
    <v>10</v>
    <v>27</v>
    <v>Finance</v>
    <v>6</v>
    <v>110.13</v>
    <v>91.75</v>
    <v>BVMF</v>
    <v>104.69</v>
    <v>104.2</v>
    <v>B3 - Brazil Stock Exchange</v>
    <v>104.47</v>
    <v>46190.595158750002</v>
    <v>174</v>
    <v>BRL</v>
    <v>FDO INV IMOB VBI LOGISTICO ETF</v>
    <v>104.47</v>
    <v>104.21</v>
    <v>LVBI11</v>
    <v>Fundos mais negociados</v>
    <v>FDO INV IMOB VBI LOGISTICO ETF (BVMF:LVBI11)</v>
    <v>-0.26</v>
    <v>-2.4889999999999999E-3</v>
    <v>5230</v>
  </rv>
  <rv s="5">
    <v>175</v>
  </rv>
  <rv s="1">
    <v>https://www.bing.com/financeapi/forcetrigger?t=bvbt9c&amp;q=BVMF%3aPVBI11&amp;form=skydnc</v>
    <v>Learn more on Bing</v>
  </rv>
  <rv s="10">
    <v>pt-BR</v>
    <v>bvbt9c</v>
    <v>268435456</v>
    <v>1</v>
    <v>Da plataforma Refinitiv</v>
    <v>25</v>
    <v>26</v>
    <v>FII VBI PRIME PROPERTIES CF (BVMF:PVBI11)</v>
    <v>10</v>
    <v>27</v>
    <v>Finance</v>
    <v>6</v>
    <v>83.16</v>
    <v>67.91</v>
    <v>BVMF</v>
    <v>72.959999999999994</v>
    <v>72.150000000000006</v>
    <v>B3 - Brazil Stock Exchange</v>
    <v>72.709999999999994</v>
    <v>46190.594601249999</v>
    <v>177</v>
    <v>BRL</v>
    <v>FII VBI PRIME PROPERTIES CF</v>
    <v>72.83</v>
    <v>72.19</v>
    <v>PVBI11</v>
    <v>Fundos mais negociados</v>
    <v>FII VBI PRIME PROPERTIES CF (BVMF:PVBI11)</v>
    <v>-0.52</v>
    <v>-7.1519999999999995E-3</v>
    <v>6026</v>
  </rv>
  <rv s="5">
    <v>178</v>
  </rv>
  <rv s="1">
    <v>https://www.bing.com/financeapi/forcetrigger?t=apmu8m&amp;q=BVMF%3aKNCR11&amp;form=skydnc</v>
    <v>Learn more on Bing</v>
  </rv>
  <rv s="10">
    <v>pt-BR</v>
    <v>apmu8m</v>
    <v>268435456</v>
    <v>1</v>
    <v>Da plataforma Refinitiv</v>
    <v>25</v>
    <v>26</v>
    <v>FDO INV IMOB KINEA RENDIMENTOS ETF (BVMF:KNCR11)</v>
    <v>10</v>
    <v>27</v>
    <v>Finance</v>
    <v>6</v>
    <v>107.38</v>
    <v>89.45</v>
    <v>BVMF</v>
    <v>107.1</v>
    <v>106.72</v>
    <v>B3 - Brazil Stock Exchange</v>
    <v>106.75</v>
    <v>46190.595173611109</v>
    <v>180</v>
    <v>BRL</v>
    <v>FDO INV IMOB KINEA RENDIMENTOS ETF</v>
    <v>107</v>
    <v>106.93</v>
    <v>KNCR11</v>
    <v>Fundos mais negociados</v>
    <v>FDO INV IMOB KINEA RENDIMENTOS ETF (BVMF:KNCR11)</v>
    <v>0.18</v>
    <v>1.686E-3</v>
    <v>40779</v>
  </rv>
  <rv s="5">
    <v>181</v>
  </rv>
  <rv s="1">
    <v>https://www.bing.com/financeapi/forcetrigger?t=apmq8m&amp;q=BVMF%3aHGBS11&amp;form=skydnc</v>
    <v>Learn more on Bing</v>
  </rv>
  <rv s="10">
    <v>pt-BR</v>
    <v>apmq8m</v>
    <v>268435456</v>
    <v>1</v>
    <v>Da plataforma Refinitiv</v>
    <v>25</v>
    <v>26</v>
    <v>FDO INV IMOB HG BRASIL SHOPPING ETF (BVMF:HGBS11)</v>
    <v>10</v>
    <v>27</v>
    <v>Finance</v>
    <v>6</v>
    <v>20.7</v>
    <v>16.53</v>
    <v>BVMF</v>
    <v>19.690000000000001</v>
    <v>19.61</v>
    <v>B3 - Brazil Stock Exchange</v>
    <v>19.670000000000002</v>
    <v>46190.595201620315</v>
    <v>183</v>
    <v>BRL</v>
    <v>FDO INV IMOB HG BRASIL SHOPPING ETF</v>
    <v>19.670000000000002</v>
    <v>19.62</v>
    <v>HGBS11</v>
    <v>Fundos mais negociados</v>
    <v>FDO INV IMOB HG BRASIL SHOPPING ETF (BVMF:HGBS11)</v>
    <v>-0.05</v>
    <v>-2.542E-3</v>
    <v>18979</v>
  </rv>
  <rv s="5">
    <v>184</v>
  </rv>
  <rv s="1">
    <v>https://www.bing.com/financeapi/forcetrigger?t=bwrbzr&amp;q=BVMF%3aKNSC11&amp;form=skydnc</v>
    <v>Learn more on Bing</v>
  </rv>
  <rv s="10">
    <v>pt-BR</v>
    <v>bwrbzr</v>
    <v>268435456</v>
    <v>1</v>
    <v>Da plataforma Refinitiv</v>
    <v>25</v>
    <v>26</v>
    <v>KINEA SECURITIES FDO DE INV IMOB CF (BVMF:KNSC11)</v>
    <v>10</v>
    <v>27</v>
    <v>Finance</v>
    <v>6</v>
    <v>9.14</v>
    <v>7.58</v>
    <v>BVMF</v>
    <v>9.08</v>
    <v>9.0299999999999994</v>
    <v>B3 - Brazil Stock Exchange</v>
    <v>9.06</v>
    <v>46190.595120138278</v>
    <v>186</v>
    <v>BRL</v>
    <v>KINEA SECURITIES FDO DE INV IMOB CF</v>
    <v>9.07</v>
    <v>9.0399999999999991</v>
    <v>KNSC11</v>
    <v>Fundos mais negociados</v>
    <v>KINEA SECURITIES FDO DE INV IMOB CF (BVMF:KNSC11)</v>
    <v>-0.02</v>
    <v>-2.2079999999999999E-3</v>
    <v>148861</v>
  </rv>
  <rv s="5">
    <v>187</v>
  </rv>
  <rv s="16">
    <v>pt-BR</v>
    <v>cbc2im</v>
    <v>268435456</v>
    <v>1</v>
    <v>Da plataforma Refinitiv</v>
    <v>44</v>
    <v>45</v>
    <v>KINEA UNIQUE HY CDI FII CF (BVMF:KNUQ11)</v>
    <v>15</v>
    <v>27</v>
    <v>Finance</v>
    <v>6</v>
    <v>105.48</v>
    <v>89.33</v>
    <v>BVMF</v>
    <v>105.48</v>
    <v>104.94</v>
    <v>B3 - Brazil Stock Exchange</v>
    <v>104.93</v>
    <v>46190.59511574074</v>
    <v>BRL</v>
    <v>KINEA UNIQUE HY CDI FII CF</v>
    <v>104.94</v>
    <v>105</v>
    <v>KNUQ11</v>
    <v>Fundos mais negociados</v>
    <v>KINEA UNIQUE HY CDI FII CF (BVMF:KNUQ11)</v>
    <v>7.0000000000000007E-2</v>
    <v>6.6710000000000001E-4</v>
    <v>6163</v>
  </rv>
  <rv s="5">
    <v>189</v>
  </rv>
  <rv s="1">
    <v>https://www.bing.com/financeapi/forcetrigger?t=apmqbh&amp;q=BVMF%3aHGCR11&amp;form=skydnc</v>
    <v>Learn more on Bing</v>
  </rv>
  <rv s="10">
    <v>pt-BR</v>
    <v>apmqbh</v>
    <v>268435456</v>
    <v>1</v>
    <v>Da plataforma Refinitiv</v>
    <v>25</v>
    <v>26</v>
    <v>FDO INV IMOB CSHG RECEBIVEIS CF (BVMF:HGCR11)</v>
    <v>10</v>
    <v>27</v>
    <v>Finance</v>
    <v>6</v>
    <v>98.15</v>
    <v>80.7</v>
    <v>BVMF</v>
    <v>93.94</v>
    <v>93.02</v>
    <v>B3 - Brazil Stock Exchange</v>
    <v>93.78</v>
    <v>46190.595179930468</v>
    <v>191</v>
    <v>BRL</v>
    <v>FDO INV IMOB CSHG RECEBIVEIS CF</v>
    <v>93.76</v>
    <v>93.02</v>
    <v>HGCR11</v>
    <v>Fundos mais negociados</v>
    <v>FDO INV IMOB CSHG RECEBIVEIS CF (BVMF:HGCR11)</v>
    <v>-0.76</v>
    <v>-8.1040000000000001E-3</v>
    <v>9045</v>
  </rv>
  <rv s="5">
    <v>192</v>
  </rv>
  <rv s="1">
    <v>https://www.bing.com/financeapi/forcetrigger?t=bjm627&amp;q=BVMF%3aRBRR11&amp;form=skydnc</v>
    <v>Learn more on Bing</v>
  </rv>
  <rv s="10">
    <v>pt-BR</v>
    <v>bjm627</v>
    <v>268435456</v>
    <v>1</v>
    <v>Da plataforma Refinitiv</v>
    <v>25</v>
    <v>26</v>
    <v>FII RBR RENDIMENTO HIGH GRADE CF (BVMF:RBRR11)</v>
    <v>10</v>
    <v>27</v>
    <v>Finance</v>
    <v>6</v>
    <v>86.81</v>
    <v>76.64</v>
    <v>BVMF</v>
    <v>82.27</v>
    <v>81.400000000000006</v>
    <v>B3 - Brazil Stock Exchange</v>
    <v>81.900000000000006</v>
    <v>46190.595138888886</v>
    <v>194</v>
    <v>BRL</v>
    <v>FII RBR RENDIMENTO HIGH GRADE CF</v>
    <v>82.13</v>
    <v>81.47</v>
    <v>RBRR11</v>
    <v>Fundos mais negociados</v>
    <v>FII RBR RENDIMENTO HIGH GRADE CF (BVMF:RBRR11)</v>
    <v>-0.43</v>
    <v>-5.2500000000000003E-3</v>
    <v>12114</v>
  </rv>
  <rv s="5">
    <v>195</v>
  </rv>
  <rv s="1">
    <v>https://www.bing.com/financeapi/forcetrigger?t=brziec&amp;q=BVMF%3aCVBI11&amp;form=skydnc</v>
    <v>Learn more on Bing</v>
  </rv>
  <rv s="10">
    <v>pt-BR</v>
    <v>brziec</v>
    <v>268435456</v>
    <v>1</v>
    <v>Da plataforma Refinitiv</v>
    <v>25</v>
    <v>26</v>
    <v>FDO INV IMOB VBI CRI ETF (BVMF:PCIP11)</v>
    <v>10</v>
    <v>27</v>
    <v>Finance</v>
    <v>6</v>
    <v>85.42</v>
    <v>71.430000000000007</v>
    <v>BVMF</v>
    <v>82.4</v>
    <v>81.84</v>
    <v>B3 - Brazil Stock Exchange</v>
    <v>82.28</v>
    <v>46190.595111191404</v>
    <v>197</v>
    <v>BRL</v>
    <v>FDO INV IMOB VBI CRI ETF</v>
    <v>82.3</v>
    <v>82.06</v>
    <v>PCIP11</v>
    <v>Fundos mais negociados</v>
    <v>FDO INV IMOB VBI CRI ETF (BVMF:PCIP11)</v>
    <v>-0.22</v>
    <v>-2.6740000000000002E-3</v>
    <v>3411</v>
  </rv>
  <rv s="5">
    <v>198</v>
  </rv>
  <rv s="1">
    <v>https://www.bing.com/financeapi/forcetrigger?t=apmubh&amp;q=BVMF%3aKNIP11&amp;form=skydnc</v>
    <v>Learn more on Bing</v>
  </rv>
  <rv s="10">
    <v>pt-BR</v>
    <v>apmubh</v>
    <v>268435456</v>
    <v>1</v>
    <v>Da plataforma Refinitiv</v>
    <v>25</v>
    <v>26</v>
    <v>KINEA INDICES DE PRECOS FDO INV IMOB CF (BVMF:KNIP11)</v>
    <v>10</v>
    <v>27</v>
    <v>Finance</v>
    <v>6</v>
    <v>93.95</v>
    <v>78.040000000000006</v>
    <v>BVMF</v>
    <v>92</v>
    <v>91.55</v>
    <v>B3 - Brazil Stock Exchange</v>
    <v>91.52</v>
    <v>46190.595209490624</v>
    <v>200</v>
    <v>BRL</v>
    <v>KINEA INDICES DE PRECOS FDO INV IMOB CF</v>
    <v>91.55</v>
    <v>91.97</v>
    <v>KNIP11</v>
    <v>Fundos mais negociados</v>
    <v>KINEA INDICES DE PRECOS FDO INV IMOB CF (BVMF:KNIP11)</v>
    <v>0.45</v>
    <v>4.9170000000000004E-3</v>
    <v>19163</v>
  </rv>
  <rv s="5">
    <v>201</v>
  </rv>
</rvData>
</file>

<file path=xl/richData/rdrichvaluestructure.xml><?xml version="1.0" encoding="utf-8"?>
<rvStructures xmlns="http://schemas.microsoft.com/office/spreadsheetml/2017/richdata" count="17">
  <s t="_localImage">
    <k n="_rvRel:LocalImageIdentifier" t="i"/>
    <k n="CalcOrigin" t="i"/>
  </s>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ndência"/>
    <k n="Preç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eta"/>
    <k n="Bolsa" t="s"/>
    <k n="Capitalização de mercado"/>
    <k n="Fechamento anterior"/>
    <k n="Hora da última transação"/>
    <k n="LearnMoreOnLink" t="r"/>
    <k n="Média de volume"/>
    <k n="Moeda" t="s"/>
    <k n="Nome" t="s"/>
    <k n="Pendência"/>
    <k n="Preço"/>
    <k n="Símbolo do ticker" t="s"/>
    <k n="Taxa de despesa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olsa" t="s"/>
    <k n="Capitalização de mercado"/>
    <k n="Fechamento anterior"/>
    <k n="Hora da última transação"/>
    <k n="Média de volume"/>
    <k n="Moeda" t="s"/>
    <k n="Nome" t="s"/>
    <k n="Pendência"/>
    <k n="Preço"/>
    <k n="Símbolo do ticker" t="s"/>
    <k n="Taxa de despesa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olsa" t="s"/>
    <k n="Fechamento anterior"/>
    <k n="Hora da última transação"/>
    <k n="LearnMoreOnLink" t="r"/>
    <k n="Moeda" t="s"/>
    <k n="Nome" t="s"/>
    <k n="Pendência"/>
    <k n="Preço"/>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eta"/>
    <k n="Bolsa" t="s"/>
    <k n="Capitalização de mercado"/>
    <k n="Fechamento anterior"/>
    <k n="Hora da última transação"/>
    <k n="Média de volume"/>
    <k n="Moeda" t="s"/>
    <k n="Nome" t="s"/>
    <k n="Pendência"/>
    <k n="Preço"/>
    <k n="Símbolo do ticker" t="s"/>
    <k n="Taxa de despesa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eta"/>
    <k n="Bolsa" t="s"/>
    <k n="Capitalização de mercado"/>
    <k n="Fechamento anterior"/>
    <k n="Hora da última transação"/>
    <k n="LearnMoreOnLink" t="r"/>
    <k n="Moeda" t="s"/>
    <k n="Nome" t="s"/>
    <k n="Pendência"/>
    <k n="Preço"/>
    <k n="Símbolo do ticker" t="s"/>
    <k n="Taxa de despesa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eta"/>
    <k n="Bolsa" t="s"/>
    <k n="Capitalização de mercado"/>
    <k n="Fechamento anterior"/>
    <k n="Hora da última transação"/>
    <k n="LearnMoreOnLink" t="r"/>
    <k n="Moeda" t="s"/>
    <k n="Nome" t="s"/>
    <k n="Pendência"/>
    <k n="Preço"/>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olsa" t="s"/>
    <k n="Capitalização de mercado"/>
    <k n="Fechamento anterior"/>
    <k n="Hora da última transação"/>
    <k n="Moeda" t="s"/>
    <k n="Nome" t="s"/>
    <k n="Pendência"/>
    <k n="Preço"/>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olsa" t="s"/>
    <k n="Fechamento anterior"/>
    <k n="Hora da última transação"/>
    <k n="Moeda" t="s"/>
    <k n="Nome" t="s"/>
    <k n="Pendência"/>
    <k n="Preço"/>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12">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Imagem</v>
      <v t="s">ExchangeID</v>
      <v t="s">%ProviderInfo</v>
    </a>
    <a count="35">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Taxa de despesas</v>
      <v t="s">Variação (%)</v>
      <v t="s">Moeda</v>
      <v t="s">Fechamento anterior</v>
      <v t="s">Pendência</v>
      <v t="s">Alto</v>
      <v t="s">Baixo</v>
      <v t="s">52 semanas de alta</v>
      <v t="s">52 semanas de baixa</v>
      <v t="s">Volume</v>
      <v t="s">Média de volume</v>
      <v t="s">Capitalização de mercado</v>
      <v t="s">Beta</v>
      <v t="s">Tipo de instrumento</v>
      <v t="s">_Flags</v>
      <v t="s">UniqueName</v>
      <v t="s">_DisplayString</v>
      <v t="s">LearnMoreOnLink</v>
      <v t="s">%ProviderInfo</v>
    </a>
    <a count="33">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Taxa de despesas</v>
      <v t="s">Variação (%)</v>
      <v t="s">Moeda</v>
      <v t="s">Fechamento anterior</v>
      <v t="s">Pendência</v>
      <v t="s">Alto</v>
      <v t="s">Baixo</v>
      <v t="s">52 semanas de alta</v>
      <v t="s">52 semanas de baixa</v>
      <v t="s">Volume</v>
      <v t="s">Média de volume</v>
      <v t="s">Capitalização de mercado</v>
      <v t="s">Tipo de instrumento</v>
      <v t="s">_Flags</v>
      <v t="s">UniqueName</v>
      <v t="s">_DisplayString</v>
      <v t="s">%ProviderInfo</v>
    </a>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Sede</v>
      <v t="s">Setor</v>
      <v t="s">Tipo de instrumento</v>
      <v t="s">Ano de incorporação</v>
      <v t="s">_Flags</v>
      <v t="s">UniqueName</v>
      <v t="s">_DisplayString</v>
      <v t="s">LearnMoreOnLink</v>
      <v t="s">ExchangeID</v>
      <v t="s">%ProviderInfo</v>
    </a>
    <a count="31">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52 semanas de alta</v>
      <v t="s">52 semanas de baixa</v>
      <v t="s">Volume</v>
      <v t="s">Tipo de instrumento</v>
      <v t="s">_Flags</v>
      <v t="s">UniqueName</v>
      <v t="s">_DisplayString</v>
      <v t="s">LearnMoreOnLink</v>
      <v t="s">%ProviderInfo</v>
    </a>
    <a count="34">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Taxa de despesas</v>
      <v t="s">Variação (%)</v>
      <v t="s">Moeda</v>
      <v t="s">Fechamento anterior</v>
      <v t="s">Pendência</v>
      <v t="s">Alto</v>
      <v t="s">Baixo</v>
      <v t="s">52 semanas de alta</v>
      <v t="s">52 semanas de baixa</v>
      <v t="s">Volume</v>
      <v t="s">Média de volume</v>
      <v t="s">Capitalização de mercado</v>
      <v t="s">Beta</v>
      <v t="s">Tipo de instrumento</v>
      <v t="s">_Flags</v>
      <v t="s">UniqueName</v>
      <v t="s">_DisplayString</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34">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Taxa de despesas</v>
      <v t="s">Variação (%)</v>
      <v t="s">Moeda</v>
      <v t="s">Fechamento anterior</v>
      <v t="s">Pendência</v>
      <v t="s">Alto</v>
      <v t="s">Baixo</v>
      <v t="s">52 semanas de alta</v>
      <v t="s">52 semanas de baixa</v>
      <v t="s">Volume</v>
      <v t="s">Capitalização de mercado</v>
      <v t="s">Beta</v>
      <v t="s">Tipo de instrumento</v>
      <v t="s">_Flags</v>
      <v t="s">UniqueName</v>
      <v t="s">_DisplayString</v>
      <v t="s">LearnMoreOnLink</v>
      <v t="s">%ProviderInfo</v>
    </a>
    <a count="33">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Beta</v>
      <v t="s">Tipo de instrumento</v>
      <v t="s">_Flags</v>
      <v t="s">UniqueName</v>
      <v t="s">_DisplayString</v>
      <v t="s">LearnMoreOnLink</v>
      <v t="s">%ProviderInfo</v>
    </a>
    <a count="31">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Tipo de instrumento</v>
      <v t="s">_Flags</v>
      <v t="s">UniqueName</v>
      <v t="s">_DisplayString</v>
      <v t="s">%ProviderInfo</v>
    </a>
    <a count="30">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52 semanas de alta</v>
      <v t="s">52 semanas de baixa</v>
      <v t="s">Volume</v>
      <v t="s">Tipo de instrumento</v>
      <v t="s">_Flags</v>
      <v t="s">UniqueName</v>
      <v t="s">_DisplayString</v>
      <v t="s">%ProviderInfo</v>
    </a>
  </spbArrays>
  <spbData count="46">
    <spb s="0">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spb>
    <spb s="3">
      <v>0</v>
      <v>0</v>
      <v>0</v>
    </spb>
    <spb s="4">
      <v>2</v>
      <v>3</v>
      <v>3</v>
      <v>3</v>
      <v>3</v>
    </spb>
    <spb s="5">
      <v>1</v>
      <v>2</v>
      <v>3</v>
      <v>1</v>
      <v>1</v>
      <v>4</v>
      <v>5</v>
      <v>1</v>
      <v>1</v>
      <v>5</v>
      <v>6</v>
      <v>5</v>
      <v>7</v>
      <v>1</v>
      <v>1</v>
      <v>8</v>
      <v>5</v>
      <v>1</v>
      <v>9</v>
      <v>10</v>
    </spb>
    <spb s="6">
      <v>Atraso de 30 minutos</v>
      <v xml:space="preserve">do fechamento anterior </v>
      <v xml:space="preserve">do fechamento anterior </v>
      <v>GMT</v>
    </spb>
    <spb s="7">
      <v>Da plataforma Refinitiv</v>
    </spb>
    <spb s="8">
      <v>High</v>
      <v>Beta</v>
      <v>Name</v>
      <v>Low</v>
      <v>Exchange</v>
      <v>Currency</v>
      <v>Price</v>
      <v>Volume</v>
      <v>Change</v>
      <v>Open</v>
      <v>UniqueName</v>
      <v>Change (%)</v>
      <v>%ProviderInfo</v>
      <v>LearnMoreOnLink</v>
      <v>Volume average</v>
      <v>Expense ratio</v>
      <v>Ticker symbol</v>
      <v>52 week high</v>
      <v>52 week low</v>
      <v>Previous close</v>
      <v>Instrument type</v>
      <v>Exchange abbreviation</v>
      <v>Market cap</v>
      <v>Last trade time</v>
    </spb>
    <spb s="1">
      <v>1</v>
      <v>Name</v>
      <v>LearnMoreOnLink</v>
    </spb>
    <spb s="9">
      <v>3</v>
      <v>3</v>
      <v>3</v>
    </spb>
    <spb s="10">
      <v>11</v>
      <v>2</v>
      <v>3</v>
      <v>11</v>
      <v>11</v>
      <v>5</v>
      <v>11</v>
      <v>11</v>
      <v>6</v>
      <v>5</v>
      <v>6</v>
      <v>7</v>
      <v>11</v>
      <v>11</v>
      <v>11</v>
      <v>12</v>
      <v>10</v>
    </spb>
    <spb s="11">
      <v>Origem : Nasdaq Última venda</v>
      <v>Tempo Real Nasdaq Última venda</v>
      <v xml:space="preserve">do fechamento anterior </v>
      <v xml:space="preserve">do fechamento anterior </v>
      <v>GMT</v>
    </spb>
    <spb s="12">
      <v>High</v>
      <v>Name</v>
      <v>Low</v>
      <v>Exchange</v>
      <v>Currency</v>
      <v>Price</v>
      <v>Volume</v>
      <v>Change</v>
      <v>Open</v>
      <v>UniqueName</v>
      <v>Change (%)</v>
      <v>%ProviderInfo</v>
      <v>Volume average</v>
      <v>Expense ratio</v>
      <v>Ticker symbol</v>
      <v>52 week high</v>
      <v>52 week low</v>
      <v>Previous close</v>
      <v>Instrument type</v>
      <v>Exchange abbreviation</v>
      <v>Market cap</v>
      <v>Last trade time</v>
    </spb>
    <spb s="13">
      <v>2</v>
      <v>Name</v>
    </spb>
    <spb s="14">
      <v>3</v>
      <v>3</v>
    </spb>
    <spb s="15">
      <v>11</v>
      <v>3</v>
      <v>11</v>
      <v>11</v>
      <v>5</v>
      <v>11</v>
      <v>11</v>
      <v>6</v>
      <v>5</v>
      <v>6</v>
      <v>7</v>
      <v>11</v>
      <v>11</v>
      <v>11</v>
      <v>12</v>
      <v>10</v>
    </spb>
    <spb s="16">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3</v>
      <v>Name</v>
      <v>LearnMoreOnLink</v>
    </spb>
    <spb s="17">
      <v>3</v>
      <v>3</v>
      <v>3</v>
      <v>3</v>
    </spb>
    <spb s="18">
      <v>1</v>
      <v>2</v>
      <v>3</v>
      <v>1</v>
      <v>1</v>
      <v>5</v>
      <v>1</v>
      <v>1</v>
      <v>5</v>
      <v>6</v>
      <v>5</v>
      <v>7</v>
      <v>1</v>
      <v>1</v>
      <v>8</v>
      <v>5</v>
      <v>1</v>
      <v>9</v>
      <v>10</v>
    </spb>
    <spb s="19">
      <v>High</v>
      <v>Beta</v>
      <v>Name</v>
      <v>Headquarters</v>
      <v>Low</v>
      <v>Exchange</v>
      <v>Currency</v>
      <v>Price</v>
      <v>Industry</v>
      <v>Volume</v>
      <v>Change</v>
      <v>Description</v>
      <v>Open</v>
      <v>ExchangeID</v>
      <v>UniqueName</v>
      <v>Official name</v>
      <v>Change (%)</v>
      <v>%ProviderInfo</v>
      <v>LearnMoreOnLink</v>
      <v>Volume average</v>
      <v>Ticker symbol</v>
      <v>52 week high</v>
      <v>52 week low</v>
      <v>Year incorporated</v>
      <v>Shares outstanding</v>
      <v>Previous close</v>
      <v>Instrument type</v>
      <v>Exchange abbreviation</v>
      <v>Market cap</v>
      <v>Last trade time</v>
    </spb>
    <spb s="1">
      <v>4</v>
      <v>Name</v>
      <v>LearnMoreOnLink</v>
    </spb>
    <spb s="20">
      <v>13</v>
      <v>2</v>
      <v>3</v>
      <v>13</v>
      <v>13</v>
      <v>5</v>
      <v>13</v>
      <v>13</v>
      <v>6</v>
      <v>5</v>
      <v>7</v>
      <v>13</v>
      <v>13</v>
      <v>8</v>
      <v>5</v>
      <v>13</v>
      <v>14</v>
      <v>10</v>
    </spb>
    <spb s="6">
      <v>Atraso de 15 minutos</v>
      <v xml:space="preserve">do fechamento anterior </v>
      <v xml:space="preserve">do fechamento anterior </v>
      <v>GMT</v>
    </spb>
    <spb s="21">
      <v>High</v>
      <v>Name</v>
      <v>Low</v>
      <v>Exchange</v>
      <v>Currency</v>
      <v>Price</v>
      <v>Volume</v>
      <v>Change</v>
      <v>Open</v>
      <v>UniqueName</v>
      <v>Change (%)</v>
      <v>%ProviderInfo</v>
      <v>LearnMoreOnLink</v>
      <v>Ticker symbol</v>
      <v>52 week high</v>
      <v>52 week low</v>
      <v>Previous close</v>
      <v>Instrument type</v>
      <v>Exchange abbreviation</v>
      <v>Last trade time</v>
    </spb>
    <spb s="1">
      <v>5</v>
      <v>Name</v>
      <v>LearnMoreOnLink</v>
    </spb>
    <spb s="22">
      <v>1</v>
      <v>3</v>
      <v>1</v>
      <v>1</v>
      <v>5</v>
      <v>1</v>
      <v>1</v>
      <v>6</v>
      <v>7</v>
      <v>1</v>
      <v>1</v>
      <v>1</v>
      <v>10</v>
    </spb>
    <spb s="23">
      <v>High</v>
      <v>Beta</v>
      <v>Name</v>
      <v>Low</v>
      <v>Exchange</v>
      <v>Currency</v>
      <v>Price</v>
      <v>Volume</v>
      <v>Change</v>
      <v>Open</v>
      <v>UniqueName</v>
      <v>Change (%)</v>
      <v>%ProviderInfo</v>
      <v>Volume average</v>
      <v>Expense ratio</v>
      <v>Ticker symbol</v>
      <v>52 week high</v>
      <v>52 week low</v>
      <v>Previous close</v>
      <v>Instrument type</v>
      <v>Exchange abbreviation</v>
      <v>Market cap</v>
      <v>Last trade time</v>
    </spb>
    <spb s="13">
      <v>6</v>
      <v>Name</v>
    </spb>
    <spb s="24">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7</v>
      <v>Name</v>
      <v>LearnMoreOnLink</v>
    </spb>
    <spb s="25">
      <v>2</v>
      <v>15</v>
      <v>2</v>
      <v>3</v>
      <v>15</v>
      <v>15</v>
      <v>5</v>
      <v>15</v>
      <v>15</v>
      <v>5</v>
      <v>6</v>
      <v>5</v>
      <v>7</v>
      <v>15</v>
      <v>15</v>
      <v>8</v>
      <v>5</v>
      <v>15</v>
      <v>12</v>
      <v>10</v>
    </spb>
    <spb s="26">
      <v>High</v>
      <v>Beta</v>
      <v>Name</v>
      <v>Low</v>
      <v>Exchange</v>
      <v>Currency</v>
      <v>Price</v>
      <v>Volume</v>
      <v>Change</v>
      <v>Open</v>
      <v>UniqueName</v>
      <v>Change (%)</v>
      <v>%ProviderInfo</v>
      <v>LearnMoreOnLink</v>
      <v>Expense ratio</v>
      <v>Ticker symbol</v>
      <v>52 week high</v>
      <v>52 week low</v>
      <v>Previous close</v>
      <v>Instrument type</v>
      <v>Exchange abbreviation</v>
      <v>Market cap</v>
      <v>Last trade time</v>
    </spb>
    <spb s="1">
      <v>8</v>
      <v>Name</v>
      <v>LearnMoreOnLink</v>
    </spb>
    <spb s="27">
      <v>11</v>
      <v>2</v>
      <v>3</v>
      <v>11</v>
      <v>11</v>
      <v>5</v>
      <v>11</v>
      <v>11</v>
      <v>6</v>
      <v>6</v>
      <v>7</v>
      <v>11</v>
      <v>11</v>
      <v>11</v>
      <v>12</v>
      <v>10</v>
    </spb>
    <spb s="11">
      <v>LSE</v>
      <v>Atraso de 15 minutos</v>
      <v xml:space="preserve">do fechamento anterior </v>
      <v xml:space="preserve">do fechamento anterior </v>
      <v>GMT</v>
    </spb>
    <spb s="27">
      <v>1</v>
      <v>2</v>
      <v>3</v>
      <v>1</v>
      <v>1</v>
      <v>5</v>
      <v>1</v>
      <v>1</v>
      <v>6</v>
      <v>6</v>
      <v>7</v>
      <v>1</v>
      <v>1</v>
      <v>1</v>
      <v>9</v>
      <v>10</v>
    </spb>
    <spb s="28">
      <v>High</v>
      <v>Beta</v>
      <v>Name</v>
      <v>Low</v>
      <v>Exchange</v>
      <v>Currency</v>
      <v>Price</v>
      <v>Volume</v>
      <v>Change</v>
      <v>Open</v>
      <v>UniqueName</v>
      <v>Change (%)</v>
      <v>%ProviderInfo</v>
      <v>LearnMoreOnLink</v>
      <v>Ticker symbol</v>
      <v>52 week high</v>
      <v>52 week low</v>
      <v>Previous close</v>
      <v>Instrument type</v>
      <v>Exchange abbreviation</v>
      <v>Market cap</v>
      <v>Last trade time</v>
    </spb>
    <spb s="1">
      <v>9</v>
      <v>Name</v>
      <v>LearnMoreOnLink</v>
    </spb>
    <spb s="29">
      <v>1</v>
      <v>2</v>
      <v>3</v>
      <v>1</v>
      <v>1</v>
      <v>5</v>
      <v>1</v>
      <v>1</v>
      <v>6</v>
      <v>7</v>
      <v>1</v>
      <v>1</v>
      <v>1</v>
      <v>9</v>
      <v>10</v>
    </spb>
    <spb s="30">
      <v>High</v>
      <v>Name</v>
      <v>Low</v>
      <v>Exchange</v>
      <v>Currency</v>
      <v>Price</v>
      <v>Volume</v>
      <v>Change</v>
      <v>Open</v>
      <v>UniqueName</v>
      <v>Change (%)</v>
      <v>%ProviderInfo</v>
      <v>Ticker symbol</v>
      <v>52 week high</v>
      <v>52 week low</v>
      <v>Previous close</v>
      <v>Instrument type</v>
      <v>Exchange abbreviation</v>
      <v>Market cap</v>
      <v>Last trade time</v>
    </spb>
    <spb s="13">
      <v>10</v>
      <v>Name</v>
    </spb>
    <spb s="31">
      <v>1</v>
      <v>3</v>
      <v>1</v>
      <v>1</v>
      <v>5</v>
      <v>1</v>
      <v>1</v>
      <v>6</v>
      <v>7</v>
      <v>1</v>
      <v>1</v>
      <v>1</v>
      <v>9</v>
      <v>10</v>
    </spb>
    <spb s="32">
      <v>High</v>
      <v>Name</v>
      <v>Low</v>
      <v>Exchange</v>
      <v>Currency</v>
      <v>Price</v>
      <v>Volume</v>
      <v>Change</v>
      <v>Open</v>
      <v>UniqueName</v>
      <v>Change (%)</v>
      <v>%ProviderInfo</v>
      <v>Ticker symbol</v>
      <v>52 week high</v>
      <v>52 week low</v>
      <v>Previous close</v>
      <v>Instrument type</v>
      <v>Exchange abbreviation</v>
      <v>Last trade time</v>
    </spb>
    <spb s="13">
      <v>11</v>
      <v>Name</v>
    </spb>
  </spbData>
</supportingPropertyBags>
</file>

<file path=xl/richData/rdsupportingpropertybagstructure.xml><?xml version="1.0" encoding="utf-8"?>
<spbStructures xmlns="http://schemas.microsoft.com/office/spreadsheetml/2017/richdata2" count="33">
  <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DotNotation" t="b"/>
    <k n="ShowInAutoComplete" t="b"/>
  </s>
  <s>
    <k n="ShowInCardView" t="b"/>
    <k n="ShowInDotNotation" t="b"/>
    <k n="ShowInAutoComplete" t="b"/>
  </s>
  <s>
    <k n="Imagem" t="spb"/>
    <k n="ExchangeID" t="spb"/>
    <k n="UniqueName" t="spb"/>
    <k n="`%ProviderInfo" t="spb"/>
    <k n="LearnMoreOnLink" t="spb"/>
  </s>
  <s>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name" t="s"/>
  </s>
  <s>
    <k n="Alto" t="s"/>
    <k n="Beta" t="s"/>
    <k n="Nome" t="s"/>
    <k n="Baixo" t="s"/>
    <k n="Bolsa" t="s"/>
    <k n="Moeda" t="s"/>
    <k n="Preço" t="s"/>
    <k n="Volume" t="s"/>
    <k n="Variação" t="s"/>
    <k n="Pendência" t="s"/>
    <k n="UniqueName" t="s"/>
    <k n="Variação (%)" t="s"/>
    <k n="%ProviderInfo" t="s"/>
    <k n="LearnMoreOnLink" t="s"/>
    <k n="Média de volume" t="s"/>
    <k n="Taxa de despesas" t="s"/>
    <k n="Símbolo do ticker" t="s"/>
    <k n="52 semanas de alta" t="s"/>
    <k n="52 semanas de baixa" t="s"/>
    <k n="Fechamento anterior" t="s"/>
    <k n="Tipo de instrumento" t="s"/>
    <k n="Abreviatura do câmbio" t="s"/>
    <k n="Capitalização de mercado" t="s"/>
    <k n="Hora da última transação" t="s"/>
  </s>
  <s>
    <k n="UniqueName" t="spb"/>
    <k n="`%ProviderInfo" t="spb"/>
    <k n="LearnMoreOnLink" t="spb"/>
  </s>
  <s>
    <k n="Alto" t="i"/>
    <k n="Beta" t="i"/>
    <k n="Nome" t="i"/>
    <k n="Baixo" t="i"/>
    <k n="Preço" t="i"/>
    <k n="Volume" t="i"/>
    <k n="Variação" t="i"/>
    <k n="Pendência" t="i"/>
    <k n="Variação (%)" t="i"/>
    <k n="Média de volume" t="i"/>
    <k n="Taxa de despesas" t="i"/>
    <k n="`%EntityServiceId" t="i"/>
    <k n="52 semanas de alta" t="i"/>
    <k n="52 semanas de baixa" t="i"/>
    <k n="Fechamento anterior" t="i"/>
    <k n="Capitalização de mercado" t="i"/>
    <k n="Hora da última transação" t="i"/>
  </s>
  <s>
    <k n="Bolsa" t="s"/>
    <k n="Preço" t="s"/>
    <k n="Variação" t="s"/>
    <k n="Variação (%)" t="s"/>
    <k n="Hora da última transação" t="s"/>
  </s>
  <s>
    <k n="Alto" t="s"/>
    <k n="Nome" t="s"/>
    <k n="Baixo" t="s"/>
    <k n="Bolsa" t="s"/>
    <k n="Moeda" t="s"/>
    <k n="Preço" t="s"/>
    <k n="Volume" t="s"/>
    <k n="Variação" t="s"/>
    <k n="Pendência" t="s"/>
    <k n="UniqueName" t="s"/>
    <k n="Variação (%)" t="s"/>
    <k n="%ProviderInfo" t="s"/>
    <k n="Média de volume" t="s"/>
    <k n="Taxa de despesas" t="s"/>
    <k n="Símbolo do ticker" t="s"/>
    <k n="52 semanas de alta" t="s"/>
    <k n="52 semanas de baixa" t="s"/>
    <k n="Fechamento anterior" t="s"/>
    <k n="Tipo de instrumento" t="s"/>
    <k n="Abreviatura do câmbio" t="s"/>
    <k n="Capitalização de mercado" t="s"/>
    <k n="Hora da última transação" t="s"/>
  </s>
  <s>
    <k n="^Order" t="spba"/>
    <k n="TitleProperty" t="s"/>
  </s>
  <s>
    <k n="UniqueName" t="spb"/>
    <k n="`%ProviderInfo" t="spb"/>
  </s>
  <s>
    <k n="Alto" t="i"/>
    <k n="Nome" t="i"/>
    <k n="Baixo" t="i"/>
    <k n="Preço" t="i"/>
    <k n="Volume" t="i"/>
    <k n="Variação" t="i"/>
    <k n="Pendência" t="i"/>
    <k n="Variação (%)" t="i"/>
    <k n="Média de volume" t="i"/>
    <k n="Taxa de despesas" t="i"/>
    <k n="`%EntityServiceId" t="i"/>
    <k n="52 semanas de alta" t="i"/>
    <k n="52 semanas de baixa"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ExchangeID" t="spb"/>
    <k n="UniqueName" t="spb"/>
    <k n="`%ProviderInfo" t="spb"/>
    <k n="LearnMoreOnLink" t="spb"/>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Beta" t="s"/>
    <k n="Nome" t="s"/>
    <k n="Sede" t="s"/>
    <k n="Baixo" t="s"/>
    <k n="Bolsa" t="s"/>
    <k n="Moeda" t="s"/>
    <k n="Preço" t="s"/>
    <k n="Setor" t="s"/>
    <k n="Volume" t="s"/>
    <k n="Variação" t="s"/>
    <k n="Descrição" t="s"/>
    <k n="Pendência" t="s"/>
    <k n="ExchangeID" t="s"/>
    <k n="UniqueName"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Nome" t="s"/>
    <k n="Baixo" t="s"/>
    <k n="Bolsa" t="s"/>
    <k n="Moeda" t="s"/>
    <k n="Preço" t="s"/>
    <k n="Volume" t="s"/>
    <k n="Variação" t="s"/>
    <k n="Pendência" t="s"/>
    <k n="UniqueName" t="s"/>
    <k n="Variação (%)" t="s"/>
    <k n="%ProviderInfo" t="s"/>
    <k n="LearnMoreOnLink" t="s"/>
    <k n="Símbolo do ticker" t="s"/>
    <k n="52 semanas de alta" t="s"/>
    <k n="52 semanas de baixa" t="s"/>
    <k n="Fechamento anterior" t="s"/>
    <k n="Tipo de instrumento" t="s"/>
    <k n="Abreviatura do câmbio" t="s"/>
    <k n="Hora da última transação" t="s"/>
  </s>
  <s>
    <k n="Alto" t="i"/>
    <k n="Nome" t="i"/>
    <k n="Baixo" t="i"/>
    <k n="Preço" t="i"/>
    <k n="Volume" t="i"/>
    <k n="Variação" t="i"/>
    <k n="Pendência" t="i"/>
    <k n="Variação (%)" t="i"/>
    <k n="`%EntityServiceId" t="i"/>
    <k n="52 semanas de alta" t="i"/>
    <k n="52 semanas de baixa" t="i"/>
    <k n="Fechamento anterior" t="i"/>
    <k n="Hora da última transação" t="i"/>
  </s>
  <s>
    <k n="Alto" t="s"/>
    <k n="Beta" t="s"/>
    <k n="Nome" t="s"/>
    <k n="Baixo" t="s"/>
    <k n="Bolsa" t="s"/>
    <k n="Moeda" t="s"/>
    <k n="Preço" t="s"/>
    <k n="Volume" t="s"/>
    <k n="Variação" t="s"/>
    <k n="Pendência" t="s"/>
    <k n="UniqueName" t="s"/>
    <k n="Variação (%)" t="s"/>
    <k n="%ProviderInfo" t="s"/>
    <k n="Média de volume" t="s"/>
    <k n="Taxa de despesas" t="s"/>
    <k n="Símbolo do ticker" t="s"/>
    <k n="52 semanas de alta" t="s"/>
    <k n="52 semanas de baixa" t="s"/>
    <k n="Fechamento anterior" t="s"/>
    <k n="Tipo de instrumento" t="s"/>
    <k n="Abreviatura do câmbio" t="s"/>
    <k n="Capitalização de mercado"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Beta" t="s"/>
    <k n="Nome" t="s"/>
    <k n="Baixo" t="s"/>
    <k n="Bolsa" t="s"/>
    <k n="Moeda" t="s"/>
    <k n="Preço" t="s"/>
    <k n="Volume" t="s"/>
    <k n="Variação" t="s"/>
    <k n="Pendência" t="s"/>
    <k n="UniqueName" t="s"/>
    <k n="Variação (%)" t="s"/>
    <k n="%ProviderInfo" t="s"/>
    <k n="LearnMoreOnLink" t="s"/>
    <k n="Taxa de despesas" t="s"/>
    <k n="Símbolo do ticker" t="s"/>
    <k n="52 semanas de alta" t="s"/>
    <k n="52 semanas de baixa"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Taxa de despesas" t="i"/>
    <k n="`%EntityServiceId" t="i"/>
    <k n="52 semanas de alta" t="i"/>
    <k n="52 semanas de baixa" t="i"/>
    <k n="Fechamento anterior" t="i"/>
    <k n="Capitalização de mercado" t="i"/>
    <k n="Hora da última transação" t="i"/>
  </s>
  <s>
    <k n="Alto" t="s"/>
    <k n="Beta" t="s"/>
    <k n="Nome" t="s"/>
    <k n="Baixo" t="s"/>
    <k n="Bolsa" t="s"/>
    <k n="Moeda" t="s"/>
    <k n="Preço" t="s"/>
    <k n="Volume" t="s"/>
    <k n="Variação" t="s"/>
    <k n="Pendência" t="s"/>
    <k n="UniqueName" t="s"/>
    <k n="Variação (%)" t="s"/>
    <k n="%ProviderInfo" t="s"/>
    <k n="LearnMoreOnLink" t="s"/>
    <k n="Símbolo do ticker" t="s"/>
    <k n="52 semanas de alta" t="s"/>
    <k n="52 semanas de baixa"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EntityServiceId" t="i"/>
    <k n="52 semanas de alta" t="i"/>
    <k n="52 semanas de baixa" t="i"/>
    <k n="Fechamento anterior" t="i"/>
    <k n="Capitalização de mercado" t="i"/>
    <k n="Hora da última transação" t="i"/>
  </s>
  <s>
    <k n="Alto" t="s"/>
    <k n="Nome" t="s"/>
    <k n="Baixo" t="s"/>
    <k n="Bolsa" t="s"/>
    <k n="Moeda" t="s"/>
    <k n="Preço" t="s"/>
    <k n="Volume" t="s"/>
    <k n="Variação" t="s"/>
    <k n="Pendência" t="s"/>
    <k n="UniqueName" t="s"/>
    <k n="Variação (%)" t="s"/>
    <k n="%ProviderInfo" t="s"/>
    <k n="Símbolo do ticker" t="s"/>
    <k n="52 semanas de alta" t="s"/>
    <k n="52 semanas de baixa" t="s"/>
    <k n="Fechamento anterior" t="s"/>
    <k n="Tipo de instrumento" t="s"/>
    <k n="Abreviatura do câmbio" t="s"/>
    <k n="Capitalização de mercado" t="s"/>
    <k n="Hora da última transação" t="s"/>
  </s>
  <s>
    <k n="Alto" t="i"/>
    <k n="Nome" t="i"/>
    <k n="Baixo" t="i"/>
    <k n="Preço" t="i"/>
    <k n="Volume" t="i"/>
    <k n="Variação" t="i"/>
    <k n="Pendência" t="i"/>
    <k n="Variação (%)" t="i"/>
    <k n="`%EntityServiceId" t="i"/>
    <k n="52 semanas de alta" t="i"/>
    <k n="52 semanas de baixa" t="i"/>
    <k n="Fechamento anterior" t="i"/>
    <k n="Capitalização de mercado" t="i"/>
    <k n="Hora da última transação" t="i"/>
  </s>
  <s>
    <k n="Alto" t="s"/>
    <k n="Nome" t="s"/>
    <k n="Baixo" t="s"/>
    <k n="Bolsa" t="s"/>
    <k n="Moeda" t="s"/>
    <k n="Preço" t="s"/>
    <k n="Volume" t="s"/>
    <k n="Variação" t="s"/>
    <k n="Pendência" t="s"/>
    <k n="UniqueName" t="s"/>
    <k n="Variação (%)" t="s"/>
    <k n="%ProviderInfo" t="s"/>
    <k n="Símbolo do ticker" t="s"/>
    <k n="52 semanas de alta" t="s"/>
    <k n="52 semanas de baixa" t="s"/>
    <k n="Fechamento anterior" t="s"/>
    <k n="Tipo de instrumento" t="s"/>
    <k n="Abreviatura do câmbio" t="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_-[$R$-pt-BR] * #,##0.00_-;-[$R$-pt-BR] * #,##0.00_-;_-[$R$-pt-BR] * "-"??_-;_-@_-</rpv>
    </rSty>
    <rSty dxfid="5">
      <rpv i="0">#,##0.00</rpv>
    </rSty>
    <rSty>
      <rpv i="1">1</rpv>
    </rSty>
    <rSty>
      <rpv i="2">1</rpv>
    </rSty>
    <rSty dxfid="4">
      <rpv i="0">#,##0</rpv>
    </rSty>
    <rSty dxfid="3"/>
    <rSty dxfid="0">
      <rpv i="0">0.00</rpv>
    </rSty>
    <rSty dxfid="6">
      <rpv i="0">0</rpv>
    </rSty>
    <rSty dxfid="1">
      <rpv i="0">_-[$R$-pt-BR] * #,##0_-;-[$R$-pt-BR] * #,##0_-;_-[$R$-pt-BR] * "-"_-;_-@_-</rpv>
    </rSty>
    <rSty dxfid="2"/>
    <rSty dxfid="1">
      <rpv i="0">_([$$-en-US]* #,##0.00_);_([$$-en-US]* (#,##0.00);_([$$-en-US]* "-"??_);_(@_)</rpv>
    </rSty>
    <rSty dxfid="1">
      <rpv i="0">_([$$-en-US]* #,##0_);_([$$-en-US]* (#,##0);_([$$-en-US]* "-"_);_(@_)</rpv>
    </rSty>
    <rSty dxfid="1">
      <rpv i="0">_-[$$-en-CA]* #,##0.00_-;-[$$-en-CA]* #,##0.00_-;_-[$$-en-CA]* "-"??_-;_-@_-</rpv>
    </rSty>
    <rSty dxfid="1">
      <rpv i="0">_-[$$-en-CA]* #,##0_-;-[$$-en-CA]* #,##0_-;_-[$$-en-CA]* "-"_-;_-@_-</rpv>
    </rSty>
    <rSty dxfid="1">
      <rpv i="0">_-* #,##0.00 [$CHF-fr-CH]_-;-* #,##0.00 [$CHF-fr-CH]_-;_-* "-"?? [$CHF-fr-CH]_-;_-@_-</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hyperlink" Target="mailto:invest@capitania.net" TargetMode="External"/><Relationship Id="rId13" Type="http://schemas.openxmlformats.org/officeDocument/2006/relationships/hyperlink" Target="mailto:ri@xpasset.com.br" TargetMode="External"/><Relationship Id="rId18" Type="http://schemas.openxmlformats.org/officeDocument/2006/relationships/hyperlink" Target="mailto:richard@caravela.capital" TargetMode="External"/><Relationship Id="rId26" Type="http://schemas.openxmlformats.org/officeDocument/2006/relationships/hyperlink" Target="mailto:vivian.oka@tivio.com" TargetMode="External"/><Relationship Id="rId3" Type="http://schemas.openxmlformats.org/officeDocument/2006/relationships/hyperlink" Target="mailto:ri@spxcapital.com" TargetMode="External"/><Relationship Id="rId21" Type="http://schemas.openxmlformats.org/officeDocument/2006/relationships/hyperlink" Target="mailto:carolina.bellio@ativoreasset.com" TargetMode="External"/><Relationship Id="rId7" Type="http://schemas.openxmlformats.org/officeDocument/2006/relationships/hyperlink" Target="mailto:invest@capitaniainvestimentos.com.br" TargetMode="External"/><Relationship Id="rId12" Type="http://schemas.openxmlformats.org/officeDocument/2006/relationships/hyperlink" Target="mailto:ri@xpasset.com.br" TargetMode="External"/><Relationship Id="rId17" Type="http://schemas.openxmlformats.org/officeDocument/2006/relationships/hyperlink" Target="mailto:jassis@vincicompass.com" TargetMode="External"/><Relationship Id="rId25" Type="http://schemas.openxmlformats.org/officeDocument/2006/relationships/hyperlink" Target="mailto:vivian.oka@tivio.com" TargetMode="External"/><Relationship Id="rId2" Type="http://schemas.openxmlformats.org/officeDocument/2006/relationships/hyperlink" Target="mailto:comercial@encore.am" TargetMode="External"/><Relationship Id="rId16" Type="http://schemas.openxmlformats.org/officeDocument/2006/relationships/hyperlink" Target="mailto:ri@realinvestor.com.br" TargetMode="External"/><Relationship Id="rId20" Type="http://schemas.openxmlformats.org/officeDocument/2006/relationships/hyperlink" Target="mailto:guilherme.loiacono@leste.com" TargetMode="External"/><Relationship Id="rId1" Type="http://schemas.openxmlformats.org/officeDocument/2006/relationships/hyperlink" Target="mailto:comercial@encore.am" TargetMode="External"/><Relationship Id="rId6" Type="http://schemas.openxmlformats.org/officeDocument/2006/relationships/hyperlink" Target="mailto:cliente@const.com.br" TargetMode="External"/><Relationship Id="rId11" Type="http://schemas.openxmlformats.org/officeDocument/2006/relationships/hyperlink" Target="mailto:ri@xpasset.com.br" TargetMode="External"/><Relationship Id="rId24" Type="http://schemas.openxmlformats.org/officeDocument/2006/relationships/hyperlink" Target="mailto:vivian.oka@tivio.com" TargetMode="External"/><Relationship Id="rId5" Type="http://schemas.openxmlformats.org/officeDocument/2006/relationships/hyperlink" Target="mailto:ri@realinvestor.com.br" TargetMode="External"/><Relationship Id="rId15" Type="http://schemas.openxmlformats.org/officeDocument/2006/relationships/hyperlink" Target="mailto:ir@jivemaua.com.br" TargetMode="External"/><Relationship Id="rId23" Type="http://schemas.openxmlformats.org/officeDocument/2006/relationships/hyperlink" Target="mailto:vivian.oka@tivio.com" TargetMode="External"/><Relationship Id="rId28" Type="http://schemas.openxmlformats.org/officeDocument/2006/relationships/hyperlink" Target="mailto:clara.campoli@azquest.com.br" TargetMode="External"/><Relationship Id="rId10" Type="http://schemas.openxmlformats.org/officeDocument/2006/relationships/hyperlink" Target="mailto:relacionamento@kinea.com.br" TargetMode="External"/><Relationship Id="rId19" Type="http://schemas.openxmlformats.org/officeDocument/2006/relationships/hyperlink" Target="mailto:pilar@nextepinvestimentos.com.br" TargetMode="External"/><Relationship Id="rId4" Type="http://schemas.openxmlformats.org/officeDocument/2006/relationships/hyperlink" Target="mailto:atendimento@kapitalo.com.br" TargetMode="External"/><Relationship Id="rId9" Type="http://schemas.openxmlformats.org/officeDocument/2006/relationships/hyperlink" Target="mailto:ir@jivemaua.com.br" TargetMode="External"/><Relationship Id="rId14" Type="http://schemas.openxmlformats.org/officeDocument/2006/relationships/hyperlink" Target="mailto:ri@xpasset.com.br" TargetMode="External"/><Relationship Id="rId22" Type="http://schemas.openxmlformats.org/officeDocument/2006/relationships/hyperlink" Target="mailto:carlos.cavalcanti@guepardoinvest.com.br" TargetMode="External"/><Relationship Id="rId27" Type="http://schemas.openxmlformats.org/officeDocument/2006/relationships/hyperlink" Target="mailto:vivian.oka@tivio.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relacionamento@kinea.com.br" TargetMode="External"/><Relationship Id="rId2" Type="http://schemas.openxmlformats.org/officeDocument/2006/relationships/hyperlink" Target="mailto:ri@xpasset.com.br" TargetMode="External"/><Relationship Id="rId1" Type="http://schemas.openxmlformats.org/officeDocument/2006/relationships/hyperlink" Target="mailto:ri@xpasset.com.b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06C2-AC7D-4CC8-AD3A-6A9AF47D36CC}">
  <sheetPr>
    <tabColor theme="3" tint="9.9978637043366805E-2"/>
  </sheetPr>
  <dimension ref="B1:D61"/>
  <sheetViews>
    <sheetView showGridLines="0" workbookViewId="0">
      <selection activeCell="C17" sqref="C17"/>
    </sheetView>
  </sheetViews>
  <sheetFormatPr defaultColWidth="63.140625" defaultRowHeight="15"/>
  <cols>
    <col min="1" max="1" width="3" customWidth="1"/>
    <col min="2" max="2" width="75.28515625" customWidth="1"/>
    <col min="3" max="3" width="21.28515625" customWidth="1"/>
    <col min="4" max="4" width="1.42578125" customWidth="1"/>
  </cols>
  <sheetData>
    <row r="1" spans="2:4" ht="9" customHeight="1"/>
    <row r="2" spans="2:4" ht="9" customHeight="1">
      <c r="B2" s="35"/>
      <c r="C2" s="35"/>
      <c r="D2" s="35"/>
    </row>
    <row r="3" spans="2:4" ht="24">
      <c r="B3" s="62"/>
      <c r="C3" s="61" t="e" vm="1">
        <v>#VALUE!</v>
      </c>
      <c r="D3" s="35"/>
    </row>
    <row r="4" spans="2:4" ht="10.5" customHeight="1">
      <c r="B4" s="37"/>
      <c r="C4" s="61"/>
      <c r="D4" s="35"/>
    </row>
    <row r="6" spans="2:4" ht="15.75">
      <c r="B6" s="63" t="s">
        <v>0</v>
      </c>
    </row>
    <row r="7" spans="2:4" ht="15.75">
      <c r="B7" s="63"/>
    </row>
    <row r="8" spans="2:4" ht="15.75">
      <c r="B8" s="13"/>
    </row>
    <row r="9" spans="2:4" ht="15.75">
      <c r="B9" s="13"/>
    </row>
    <row r="10" spans="2:4" ht="15.75">
      <c r="B10" s="13"/>
    </row>
    <row r="15" spans="2:4" ht="15.75">
      <c r="B15" s="36"/>
      <c r="C15" s="36"/>
    </row>
    <row r="17" spans="2:3" ht="15.75">
      <c r="B17" s="13"/>
    </row>
    <row r="18" spans="2:3" ht="15.75">
      <c r="B18" s="14"/>
    </row>
    <row r="19" spans="2:3" ht="15.75">
      <c r="B19" s="14"/>
    </row>
    <row r="20" spans="2:3" ht="15.75">
      <c r="B20" s="16"/>
    </row>
    <row r="21" spans="2:3" ht="15.75">
      <c r="B21" s="14"/>
    </row>
    <row r="22" spans="2:3" ht="15.75">
      <c r="C22" s="14"/>
    </row>
    <row r="23" spans="2:3" ht="15.75">
      <c r="C23" s="14"/>
    </row>
    <row r="24" spans="2:3" ht="15.75">
      <c r="C24" s="14"/>
    </row>
    <row r="25" spans="2:3" ht="15.75">
      <c r="C25" s="14"/>
    </row>
    <row r="26" spans="2:3" ht="15.75">
      <c r="C26" s="14"/>
    </row>
    <row r="27" spans="2:3" ht="15.75">
      <c r="C27" s="14"/>
    </row>
    <row r="28" spans="2:3" ht="15.75">
      <c r="B28" s="13"/>
    </row>
    <row r="29" spans="2:3" ht="15.75">
      <c r="B29" s="14"/>
    </row>
    <row r="30" spans="2:3" ht="15.75">
      <c r="B30" s="16"/>
    </row>
    <row r="31" spans="2:3" ht="15.75">
      <c r="B31" s="14"/>
    </row>
    <row r="32" spans="2:3" ht="15.75">
      <c r="B32" s="14"/>
    </row>
    <row r="33" spans="2:3" ht="15.75">
      <c r="B33" s="14"/>
    </row>
    <row r="34" spans="2:3" ht="15.75">
      <c r="C34" s="14"/>
    </row>
    <row r="35" spans="2:3" ht="15.75">
      <c r="C35" s="14"/>
    </row>
    <row r="36" spans="2:3" ht="15.75">
      <c r="C36" s="14"/>
    </row>
    <row r="37" spans="2:3" ht="15.75">
      <c r="C37" s="14"/>
    </row>
    <row r="38" spans="2:3" ht="15.75">
      <c r="B38" s="13"/>
    </row>
    <row r="39" spans="2:3" ht="15.75">
      <c r="B39" s="14"/>
    </row>
    <row r="40" spans="2:3" ht="15.75">
      <c r="B40" s="14"/>
    </row>
    <row r="41" spans="2:3" ht="15.75">
      <c r="B41" s="14"/>
    </row>
    <row r="42" spans="2:3" ht="15.75">
      <c r="C42" s="14"/>
    </row>
    <row r="43" spans="2:3" ht="15.75">
      <c r="C43" s="14"/>
    </row>
    <row r="44" spans="2:3" ht="15.75">
      <c r="C44" s="14"/>
    </row>
    <row r="46" spans="2:3" ht="15.75">
      <c r="B46" s="13"/>
    </row>
    <row r="47" spans="2:3" ht="15.75">
      <c r="B47" s="16"/>
    </row>
    <row r="48" spans="2:3" ht="15.75">
      <c r="B48" s="16"/>
      <c r="C48" s="18"/>
    </row>
    <row r="49" spans="2:3" ht="15.75">
      <c r="B49" s="14"/>
      <c r="C49" s="14"/>
    </row>
    <row r="50" spans="2:3" ht="15.75">
      <c r="C50" s="18"/>
    </row>
    <row r="51" spans="2:3" ht="15.75">
      <c r="C51" s="14"/>
    </row>
    <row r="52" spans="2:3" ht="15.75">
      <c r="C52" s="14"/>
    </row>
    <row r="53" spans="2:3" ht="15.75">
      <c r="B53" s="13"/>
    </row>
    <row r="54" spans="2:3" ht="15.75">
      <c r="B54" s="14"/>
    </row>
    <row r="57" spans="2:3" ht="15.75">
      <c r="B57" s="13"/>
    </row>
    <row r="58" spans="2:3" ht="15.75">
      <c r="B58" s="14"/>
    </row>
    <row r="60" spans="2:3" ht="15.75">
      <c r="C60" s="14"/>
    </row>
    <row r="61" spans="2:3" ht="15.75">
      <c r="C61"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C6B98-66F4-4DD8-8F63-49D81BEED3E4}">
  <sheetPr>
    <tabColor rgb="FF92D050"/>
  </sheetPr>
  <dimension ref="B2:AD84"/>
  <sheetViews>
    <sheetView topLeftCell="A38" workbookViewId="0">
      <selection activeCell="K11" sqref="K11"/>
    </sheetView>
  </sheetViews>
  <sheetFormatPr defaultRowHeight="15" outlineLevelRow="2"/>
  <cols>
    <col min="1" max="1" width="5.140625" customWidth="1"/>
    <col min="2" max="2" width="19.5703125" customWidth="1"/>
    <col min="3" max="3" width="8.7109375" customWidth="1"/>
    <col min="4" max="5" width="9.140625" bestFit="1" customWidth="1"/>
    <col min="6" max="6" width="6.140625" customWidth="1"/>
    <col min="7" max="7" width="21" customWidth="1"/>
    <col min="8" max="10" width="8.7109375" customWidth="1"/>
    <col min="11" max="11" width="6.140625" customWidth="1"/>
    <col min="12" max="12" width="20.85546875" customWidth="1"/>
    <col min="13" max="15" width="8.7109375" customWidth="1"/>
    <col min="16" max="16" width="4.5703125" style="5" customWidth="1"/>
    <col min="17" max="17" width="19.28515625" bestFit="1" customWidth="1"/>
    <col min="18" max="20" width="8.7109375" customWidth="1"/>
    <col min="21" max="21" width="4.28515625" customWidth="1"/>
    <col min="22" max="22" width="19.28515625" bestFit="1" customWidth="1"/>
    <col min="23" max="23" width="6.42578125" bestFit="1" customWidth="1"/>
    <col min="24" max="24" width="7.5703125" bestFit="1" customWidth="1"/>
    <col min="25" max="25" width="6.42578125" bestFit="1" customWidth="1"/>
    <col min="26" max="26" width="4.28515625" customWidth="1"/>
    <col min="27" max="27" width="19.28515625" bestFit="1" customWidth="1"/>
    <col min="28" max="28" width="6.42578125" bestFit="1" customWidth="1"/>
    <col min="29" max="29" width="7.42578125" bestFit="1" customWidth="1"/>
    <col min="30" max="30" width="6.42578125" bestFit="1" customWidth="1"/>
  </cols>
  <sheetData>
    <row r="2" spans="2:30" ht="15" customHeight="1">
      <c r="B2" s="353" t="s">
        <v>1</v>
      </c>
      <c r="C2" s="354" t="s">
        <v>2</v>
      </c>
      <c r="D2" s="355" t="s">
        <v>3</v>
      </c>
      <c r="E2" s="354" t="s">
        <v>4</v>
      </c>
    </row>
    <row r="3" spans="2:30">
      <c r="B3" s="356" t="s">
        <v>5</v>
      </c>
      <c r="C3" s="146">
        <v>1</v>
      </c>
      <c r="D3" s="147">
        <v>1</v>
      </c>
      <c r="E3" s="148">
        <v>1</v>
      </c>
      <c r="G3" s="357"/>
    </row>
    <row r="4" spans="2:30" outlineLevel="1">
      <c r="B4" s="358" t="s">
        <v>6</v>
      </c>
      <c r="C4" s="149">
        <v>1</v>
      </c>
      <c r="D4" s="150">
        <v>1</v>
      </c>
      <c r="E4" s="151">
        <v>1</v>
      </c>
    </row>
    <row r="5" spans="2:30" outlineLevel="2">
      <c r="B5" s="359" t="s">
        <v>7</v>
      </c>
      <c r="C5" s="150">
        <v>0.2</v>
      </c>
      <c r="D5" s="150">
        <v>0.3</v>
      </c>
      <c r="E5" s="152">
        <v>0.4</v>
      </c>
    </row>
    <row r="6" spans="2:30" outlineLevel="2">
      <c r="B6" s="359" t="s">
        <v>8</v>
      </c>
      <c r="C6" s="150">
        <v>0.2</v>
      </c>
      <c r="D6" s="150">
        <v>0.3</v>
      </c>
      <c r="E6" s="152">
        <v>0.4</v>
      </c>
    </row>
    <row r="7" spans="2:30" outlineLevel="2">
      <c r="B7" s="359" t="s">
        <v>9</v>
      </c>
      <c r="C7" s="150">
        <v>0.15</v>
      </c>
      <c r="D7" s="150">
        <v>0.2</v>
      </c>
      <c r="E7" s="152">
        <v>0.3</v>
      </c>
    </row>
    <row r="8" spans="2:30" outlineLevel="2">
      <c r="B8" s="359" t="s">
        <v>10</v>
      </c>
      <c r="C8" s="150">
        <v>0.05</v>
      </c>
      <c r="D8" s="150">
        <v>0.1</v>
      </c>
      <c r="E8" s="152">
        <v>0.2</v>
      </c>
    </row>
    <row r="9" spans="2:30" outlineLevel="2">
      <c r="B9" s="359" t="s">
        <v>11</v>
      </c>
      <c r="C9" s="150">
        <v>0.05</v>
      </c>
      <c r="D9" s="150">
        <v>0.1</v>
      </c>
      <c r="E9" s="152">
        <v>0.2</v>
      </c>
    </row>
    <row r="10" spans="2:30" outlineLevel="1">
      <c r="B10" s="358" t="s">
        <v>12</v>
      </c>
      <c r="C10" s="150">
        <v>0</v>
      </c>
      <c r="D10" s="153">
        <v>0</v>
      </c>
      <c r="E10" s="152">
        <v>0</v>
      </c>
    </row>
    <row r="11" spans="2:30" collapsed="1">
      <c r="B11" s="360" t="s">
        <v>13</v>
      </c>
      <c r="C11" s="154">
        <v>0</v>
      </c>
      <c r="D11" s="155">
        <v>0</v>
      </c>
      <c r="E11" s="156">
        <v>0</v>
      </c>
      <c r="P11" s="5" t="s">
        <v>14</v>
      </c>
      <c r="Q11" s="55"/>
    </row>
    <row r="12" spans="2:30">
      <c r="B12" s="361" t="s">
        <v>15</v>
      </c>
      <c r="C12" s="157">
        <v>0</v>
      </c>
      <c r="D12" s="158">
        <v>0</v>
      </c>
      <c r="E12" s="159">
        <v>0</v>
      </c>
    </row>
    <row r="13" spans="2:30">
      <c r="B13" s="362" t="s">
        <v>16</v>
      </c>
      <c r="C13" s="160">
        <v>0</v>
      </c>
      <c r="D13" s="161">
        <v>0</v>
      </c>
      <c r="E13" s="162">
        <v>0</v>
      </c>
    </row>
    <row r="14" spans="2:30">
      <c r="B14" s="363" t="s">
        <v>17</v>
      </c>
      <c r="C14" s="163">
        <v>0</v>
      </c>
      <c r="D14" s="163">
        <v>0</v>
      </c>
      <c r="E14" s="164">
        <v>0</v>
      </c>
    </row>
    <row r="15" spans="2:30">
      <c r="G15" s="345" t="s">
        <v>18</v>
      </c>
      <c r="L15" s="345" t="s">
        <v>19</v>
      </c>
      <c r="AA15" s="345" t="s">
        <v>20</v>
      </c>
    </row>
    <row r="16" spans="2:30" ht="45.75">
      <c r="B16" s="364" t="s">
        <v>21</v>
      </c>
      <c r="C16" s="365" t="s">
        <v>2</v>
      </c>
      <c r="D16" s="366" t="s">
        <v>3</v>
      </c>
      <c r="E16" s="367" t="s">
        <v>4</v>
      </c>
      <c r="G16" s="368" t="s">
        <v>22</v>
      </c>
      <c r="H16" s="369" t="s">
        <v>2</v>
      </c>
      <c r="I16" s="366" t="s">
        <v>3</v>
      </c>
      <c r="J16" s="367" t="s">
        <v>4</v>
      </c>
      <c r="L16" s="368" t="s">
        <v>23</v>
      </c>
      <c r="M16" s="369" t="s">
        <v>2</v>
      </c>
      <c r="N16" s="366" t="s">
        <v>3</v>
      </c>
      <c r="O16" s="367" t="s">
        <v>4</v>
      </c>
      <c r="Q16" s="368" t="s">
        <v>24</v>
      </c>
      <c r="R16" s="365" t="s">
        <v>2</v>
      </c>
      <c r="S16" s="366" t="s">
        <v>3</v>
      </c>
      <c r="T16" s="367" t="s">
        <v>4</v>
      </c>
      <c r="V16" s="368" t="s">
        <v>25</v>
      </c>
      <c r="W16" s="365" t="s">
        <v>2</v>
      </c>
      <c r="X16" s="370" t="s">
        <v>3</v>
      </c>
      <c r="Y16" s="367" t="s">
        <v>4</v>
      </c>
      <c r="AA16" s="371" t="s">
        <v>26</v>
      </c>
      <c r="AB16" s="370" t="s">
        <v>2</v>
      </c>
      <c r="AC16" s="370" t="s">
        <v>3</v>
      </c>
      <c r="AD16" s="367" t="s">
        <v>4</v>
      </c>
    </row>
    <row r="17" spans="2:30">
      <c r="B17" s="372" t="s">
        <v>5</v>
      </c>
      <c r="C17" s="272">
        <v>0.7</v>
      </c>
      <c r="D17" s="147">
        <v>0.8</v>
      </c>
      <c r="E17" s="148">
        <v>0.9</v>
      </c>
      <c r="G17" s="372" t="s">
        <v>5</v>
      </c>
      <c r="H17" s="273">
        <v>0.6</v>
      </c>
      <c r="I17" s="150">
        <v>0.7</v>
      </c>
      <c r="J17" s="165">
        <v>0.8</v>
      </c>
      <c r="L17" s="372" t="s">
        <v>5</v>
      </c>
      <c r="M17" s="273">
        <v>0.7</v>
      </c>
      <c r="N17" s="150">
        <v>0.8</v>
      </c>
      <c r="O17" s="165">
        <v>0.9</v>
      </c>
      <c r="Q17" s="372" t="s">
        <v>5</v>
      </c>
      <c r="R17" s="272">
        <v>0.5</v>
      </c>
      <c r="S17" s="147">
        <v>0.6</v>
      </c>
      <c r="T17" s="148">
        <v>0.7</v>
      </c>
      <c r="V17" s="372" t="s">
        <v>5</v>
      </c>
      <c r="W17" s="274">
        <v>0.5</v>
      </c>
      <c r="X17" s="146">
        <v>0.6</v>
      </c>
      <c r="Y17" s="187">
        <v>0.7</v>
      </c>
      <c r="AA17" s="373" t="s">
        <v>5</v>
      </c>
      <c r="AB17" s="146">
        <v>0.5</v>
      </c>
      <c r="AC17" s="272">
        <v>0.6</v>
      </c>
      <c r="AD17" s="187">
        <v>0.7</v>
      </c>
    </row>
    <row r="18" spans="2:30" outlineLevel="1">
      <c r="B18" s="374" t="s">
        <v>6</v>
      </c>
      <c r="C18" s="275">
        <v>0.7</v>
      </c>
      <c r="D18" s="150">
        <v>0.8</v>
      </c>
      <c r="E18" s="151">
        <v>0.8</v>
      </c>
      <c r="G18" s="374" t="s">
        <v>6</v>
      </c>
      <c r="H18" s="273">
        <v>0.45</v>
      </c>
      <c r="I18" s="150">
        <v>0.5</v>
      </c>
      <c r="J18" s="151">
        <v>0.55000000000000004</v>
      </c>
      <c r="L18" s="374" t="s">
        <v>6</v>
      </c>
      <c r="M18" s="273">
        <v>0.3</v>
      </c>
      <c r="N18" s="150">
        <v>0.4</v>
      </c>
      <c r="O18" s="151">
        <v>0.5</v>
      </c>
      <c r="Q18" s="374" t="s">
        <v>6</v>
      </c>
      <c r="R18" s="272">
        <v>0.5</v>
      </c>
      <c r="S18" s="147">
        <v>0.6</v>
      </c>
      <c r="T18" s="148">
        <v>0.7</v>
      </c>
      <c r="V18" s="374" t="s">
        <v>6</v>
      </c>
      <c r="W18" s="275">
        <v>0.3</v>
      </c>
      <c r="X18" s="149">
        <v>0.35</v>
      </c>
      <c r="Y18" s="151">
        <v>0.4</v>
      </c>
      <c r="AA18" s="375" t="s">
        <v>6</v>
      </c>
      <c r="AB18" s="149">
        <v>0.2</v>
      </c>
      <c r="AC18" s="149">
        <v>0.2</v>
      </c>
      <c r="AD18" s="151">
        <v>0.3</v>
      </c>
    </row>
    <row r="19" spans="2:30" outlineLevel="2">
      <c r="B19" s="376" t="s">
        <v>7</v>
      </c>
      <c r="C19" s="273">
        <v>0.15</v>
      </c>
      <c r="D19" s="150">
        <v>0.2</v>
      </c>
      <c r="E19" s="152">
        <v>0.3</v>
      </c>
      <c r="G19" s="376" t="s">
        <v>7</v>
      </c>
      <c r="H19" s="273">
        <v>0.15</v>
      </c>
      <c r="I19" s="150">
        <v>0.2</v>
      </c>
      <c r="J19" s="152">
        <v>0.3</v>
      </c>
      <c r="L19" s="376" t="s">
        <v>7</v>
      </c>
      <c r="M19" s="273">
        <v>0.15</v>
      </c>
      <c r="N19" s="150">
        <v>0.2</v>
      </c>
      <c r="O19" s="152">
        <v>0.3</v>
      </c>
      <c r="Q19" s="376" t="s">
        <v>7</v>
      </c>
      <c r="R19" s="273">
        <v>0.15</v>
      </c>
      <c r="S19" s="150">
        <v>0.2</v>
      </c>
      <c r="T19" s="152">
        <v>0.3</v>
      </c>
      <c r="V19" s="376" t="s">
        <v>7</v>
      </c>
      <c r="W19" s="273">
        <v>0.2</v>
      </c>
      <c r="X19" s="150">
        <v>0.2</v>
      </c>
      <c r="Y19" s="152">
        <v>0.3</v>
      </c>
      <c r="AA19" s="377" t="s">
        <v>7</v>
      </c>
      <c r="AB19" s="150">
        <v>0.2</v>
      </c>
      <c r="AC19" s="150">
        <v>0.2</v>
      </c>
      <c r="AD19" s="152">
        <v>0.3</v>
      </c>
    </row>
    <row r="20" spans="2:30" outlineLevel="2">
      <c r="B20" s="376" t="s">
        <v>8</v>
      </c>
      <c r="C20" s="273">
        <v>0.15</v>
      </c>
      <c r="D20" s="150">
        <v>0.2</v>
      </c>
      <c r="E20" s="152">
        <v>0.3</v>
      </c>
      <c r="G20" s="376" t="s">
        <v>8</v>
      </c>
      <c r="H20" s="273">
        <v>0.15</v>
      </c>
      <c r="I20" s="150">
        <v>0.15</v>
      </c>
      <c r="J20" s="152">
        <v>0.3</v>
      </c>
      <c r="L20" s="376" t="s">
        <v>8</v>
      </c>
      <c r="M20" s="273">
        <v>0.05</v>
      </c>
      <c r="N20" s="150">
        <v>0.1</v>
      </c>
      <c r="O20" s="152">
        <v>0.15</v>
      </c>
      <c r="Q20" s="376" t="s">
        <v>8</v>
      </c>
      <c r="R20" s="273">
        <v>0.15</v>
      </c>
      <c r="S20" s="150">
        <v>0.2</v>
      </c>
      <c r="T20" s="152">
        <v>0.3</v>
      </c>
      <c r="V20" s="376" t="s">
        <v>8</v>
      </c>
      <c r="W20" s="273">
        <v>0.1</v>
      </c>
      <c r="X20" s="150">
        <v>0.1</v>
      </c>
      <c r="Y20" s="152">
        <v>0.2</v>
      </c>
      <c r="AA20" s="377" t="s">
        <v>8</v>
      </c>
      <c r="AB20" s="150">
        <v>0</v>
      </c>
      <c r="AC20" s="150">
        <v>0</v>
      </c>
      <c r="AD20" s="152">
        <v>0.1</v>
      </c>
    </row>
    <row r="21" spans="2:30" outlineLevel="2">
      <c r="B21" s="376" t="s">
        <v>9</v>
      </c>
      <c r="C21" s="273">
        <v>0.1</v>
      </c>
      <c r="D21" s="150">
        <v>0.2</v>
      </c>
      <c r="E21" s="152">
        <v>0.25</v>
      </c>
      <c r="G21" s="376" t="s">
        <v>9</v>
      </c>
      <c r="H21" s="273">
        <v>0.05</v>
      </c>
      <c r="I21" s="150">
        <v>0.1</v>
      </c>
      <c r="J21" s="152">
        <v>0.15</v>
      </c>
      <c r="L21" s="376" t="s">
        <v>9</v>
      </c>
      <c r="M21" s="273">
        <v>0</v>
      </c>
      <c r="N21" s="150">
        <v>0.05</v>
      </c>
      <c r="O21" s="152">
        <v>0.1</v>
      </c>
      <c r="Q21" s="376" t="s">
        <v>9</v>
      </c>
      <c r="R21" s="273">
        <v>0.1</v>
      </c>
      <c r="S21" s="150">
        <v>0.1</v>
      </c>
      <c r="T21" s="152">
        <v>0.25</v>
      </c>
      <c r="V21" s="376" t="s">
        <v>9</v>
      </c>
      <c r="W21" s="273">
        <v>0</v>
      </c>
      <c r="X21" s="150">
        <v>0.05</v>
      </c>
      <c r="Y21" s="152">
        <v>0.05</v>
      </c>
      <c r="AA21" s="377" t="s">
        <v>9</v>
      </c>
      <c r="AB21" s="150">
        <v>0</v>
      </c>
      <c r="AC21" s="150">
        <v>0</v>
      </c>
      <c r="AD21" s="152">
        <v>0</v>
      </c>
    </row>
    <row r="22" spans="2:30" outlineLevel="2">
      <c r="B22" s="376" t="s">
        <v>10</v>
      </c>
      <c r="C22" s="273">
        <v>0.1</v>
      </c>
      <c r="D22" s="150">
        <v>0.2</v>
      </c>
      <c r="E22" s="152">
        <v>0.25</v>
      </c>
      <c r="G22" s="376" t="s">
        <v>10</v>
      </c>
      <c r="H22" s="273">
        <v>0</v>
      </c>
      <c r="I22" s="150">
        <v>0.05</v>
      </c>
      <c r="J22" s="152">
        <v>0.1</v>
      </c>
      <c r="L22" s="376" t="s">
        <v>10</v>
      </c>
      <c r="M22" s="273">
        <v>0</v>
      </c>
      <c r="N22" s="150">
        <v>0.05</v>
      </c>
      <c r="O22" s="152">
        <v>0.1</v>
      </c>
      <c r="Q22" s="376" t="s">
        <v>10</v>
      </c>
      <c r="R22" s="273">
        <v>0.1</v>
      </c>
      <c r="S22" s="150">
        <v>0.1</v>
      </c>
      <c r="T22" s="152">
        <v>0.25</v>
      </c>
      <c r="V22" s="376" t="s">
        <v>10</v>
      </c>
      <c r="W22" s="273">
        <v>0</v>
      </c>
      <c r="X22" s="150">
        <v>0</v>
      </c>
      <c r="Y22" s="152">
        <v>0</v>
      </c>
      <c r="AA22" s="377" t="s">
        <v>10</v>
      </c>
      <c r="AB22" s="150">
        <v>0</v>
      </c>
      <c r="AC22" s="150">
        <v>0</v>
      </c>
      <c r="AD22" s="152">
        <v>0</v>
      </c>
    </row>
    <row r="23" spans="2:30" outlineLevel="1">
      <c r="B23" s="374" t="s">
        <v>12</v>
      </c>
      <c r="C23" s="273">
        <v>0</v>
      </c>
      <c r="D23" s="153">
        <v>0</v>
      </c>
      <c r="E23" s="152">
        <v>0</v>
      </c>
      <c r="G23" s="374" t="s">
        <v>12</v>
      </c>
      <c r="H23" s="273">
        <v>0.3</v>
      </c>
      <c r="I23" s="150">
        <v>0.2</v>
      </c>
      <c r="J23" s="152">
        <v>0.4</v>
      </c>
      <c r="L23" s="374" t="s">
        <v>12</v>
      </c>
      <c r="M23" s="273">
        <v>0.4</v>
      </c>
      <c r="N23" s="150">
        <v>0.4</v>
      </c>
      <c r="O23" s="152">
        <v>0.5</v>
      </c>
      <c r="Q23" s="374" t="s">
        <v>12</v>
      </c>
      <c r="R23" s="273">
        <v>0</v>
      </c>
      <c r="S23" s="153">
        <v>0</v>
      </c>
      <c r="T23" s="152">
        <v>0</v>
      </c>
      <c r="V23" s="374" t="s">
        <v>12</v>
      </c>
      <c r="W23" s="147">
        <v>0.25</v>
      </c>
      <c r="X23" s="153">
        <v>0.25</v>
      </c>
      <c r="Y23" s="152">
        <v>0.3</v>
      </c>
      <c r="AA23" s="375" t="s">
        <v>12</v>
      </c>
      <c r="AB23" s="153">
        <v>0.35</v>
      </c>
      <c r="AC23" s="153">
        <v>0.4</v>
      </c>
      <c r="AD23" s="152">
        <v>0.5</v>
      </c>
    </row>
    <row r="24" spans="2:30" collapsed="1">
      <c r="B24" s="378" t="s">
        <v>13</v>
      </c>
      <c r="C24" s="276">
        <v>2.5000000000000001E-2</v>
      </c>
      <c r="D24" s="155">
        <v>0.05</v>
      </c>
      <c r="E24" s="156">
        <v>7.4999999999999997E-2</v>
      </c>
      <c r="G24" s="378" t="s">
        <v>13</v>
      </c>
      <c r="H24" s="277">
        <v>0.05</v>
      </c>
      <c r="I24" s="166">
        <v>0.1</v>
      </c>
      <c r="J24" s="167">
        <v>0.15</v>
      </c>
      <c r="L24" s="378" t="s">
        <v>13</v>
      </c>
      <c r="M24" s="277">
        <v>0</v>
      </c>
      <c r="N24" s="166">
        <v>0</v>
      </c>
      <c r="O24" s="167">
        <v>0</v>
      </c>
      <c r="Q24" s="378" t="s">
        <v>13</v>
      </c>
      <c r="R24" s="276">
        <v>2.5000000000000001E-2</v>
      </c>
      <c r="S24" s="155">
        <v>0.05</v>
      </c>
      <c r="T24" s="156">
        <v>7.4999999999999997E-2</v>
      </c>
      <c r="V24" s="378" t="s">
        <v>13</v>
      </c>
      <c r="W24" s="278">
        <v>0</v>
      </c>
      <c r="X24" s="155">
        <v>0.05</v>
      </c>
      <c r="Y24" s="156">
        <v>0.1</v>
      </c>
      <c r="AA24" s="379" t="s">
        <v>13</v>
      </c>
      <c r="AB24" s="188">
        <v>0</v>
      </c>
      <c r="AC24" s="155">
        <v>0</v>
      </c>
      <c r="AD24" s="156">
        <v>0.1</v>
      </c>
    </row>
    <row r="25" spans="2:30" outlineLevel="1">
      <c r="B25" s="380" t="s">
        <v>27</v>
      </c>
      <c r="C25" s="277" t="s">
        <v>28</v>
      </c>
      <c r="D25" s="154" t="s">
        <v>29</v>
      </c>
      <c r="E25" s="168">
        <v>0.04</v>
      </c>
      <c r="G25" s="380" t="s">
        <v>27</v>
      </c>
      <c r="H25" s="277">
        <v>2.5000000000000001E-2</v>
      </c>
      <c r="I25" s="166">
        <v>0.05</v>
      </c>
      <c r="J25" s="169">
        <v>7.4999999999999997E-2</v>
      </c>
      <c r="L25" s="380" t="s">
        <v>27</v>
      </c>
      <c r="M25" s="277">
        <v>0</v>
      </c>
      <c r="N25" s="166">
        <v>0</v>
      </c>
      <c r="O25" s="169">
        <v>0</v>
      </c>
      <c r="Q25" s="380" t="s">
        <v>27</v>
      </c>
      <c r="R25" s="277" t="s">
        <v>28</v>
      </c>
      <c r="S25" s="154" t="s">
        <v>29</v>
      </c>
      <c r="T25" s="168">
        <v>0.04</v>
      </c>
      <c r="V25" s="380" t="s">
        <v>27</v>
      </c>
      <c r="W25" s="276"/>
      <c r="X25" s="154" t="s">
        <v>29</v>
      </c>
      <c r="Y25" s="168"/>
      <c r="AA25" s="381" t="s">
        <v>27</v>
      </c>
      <c r="AB25" s="154"/>
      <c r="AC25" s="154">
        <v>0</v>
      </c>
      <c r="AD25" s="168"/>
    </row>
    <row r="26" spans="2:30" outlineLevel="1">
      <c r="B26" s="380" t="s">
        <v>30</v>
      </c>
      <c r="C26" s="277" t="s">
        <v>28</v>
      </c>
      <c r="D26" s="166" t="s">
        <v>29</v>
      </c>
      <c r="E26" s="170">
        <v>0.04</v>
      </c>
      <c r="G26" s="380" t="s">
        <v>30</v>
      </c>
      <c r="H26" s="277">
        <v>2.5000000000000001E-2</v>
      </c>
      <c r="I26" s="171">
        <v>0.05</v>
      </c>
      <c r="J26" s="169">
        <v>7.4999999999999997E-2</v>
      </c>
      <c r="L26" s="380" t="s">
        <v>30</v>
      </c>
      <c r="M26" s="279">
        <v>0</v>
      </c>
      <c r="N26" s="166">
        <v>0</v>
      </c>
      <c r="O26" s="170">
        <v>0</v>
      </c>
      <c r="Q26" s="380" t="s">
        <v>30</v>
      </c>
      <c r="R26" s="277" t="s">
        <v>28</v>
      </c>
      <c r="S26" s="166" t="s">
        <v>29</v>
      </c>
      <c r="T26" s="170">
        <v>0.04</v>
      </c>
      <c r="V26" s="380" t="s">
        <v>30</v>
      </c>
      <c r="W26" s="279"/>
      <c r="X26" s="171" t="s">
        <v>29</v>
      </c>
      <c r="Y26" s="170"/>
      <c r="AA26" s="381" t="s">
        <v>30</v>
      </c>
      <c r="AB26" s="166"/>
      <c r="AC26" s="166">
        <v>0</v>
      </c>
      <c r="AD26" s="170"/>
    </row>
    <row r="27" spans="2:30" collapsed="1">
      <c r="B27" s="382" t="s">
        <v>15</v>
      </c>
      <c r="C27" s="174">
        <v>0.08</v>
      </c>
      <c r="D27" s="158">
        <v>0.15</v>
      </c>
      <c r="E27" s="159">
        <v>0.2</v>
      </c>
      <c r="G27" s="382" t="s">
        <v>15</v>
      </c>
      <c r="H27" s="280">
        <v>0.15</v>
      </c>
      <c r="I27" s="172">
        <v>0.2</v>
      </c>
      <c r="J27" s="173">
        <v>0.25</v>
      </c>
      <c r="L27" s="382" t="s">
        <v>15</v>
      </c>
      <c r="M27" s="173">
        <v>0.2</v>
      </c>
      <c r="N27" s="174">
        <v>0.2</v>
      </c>
      <c r="O27" s="159">
        <v>0.25</v>
      </c>
      <c r="Q27" s="382" t="s">
        <v>15</v>
      </c>
      <c r="R27" s="174">
        <v>0.08</v>
      </c>
      <c r="S27" s="158">
        <v>0.15</v>
      </c>
      <c r="T27" s="159">
        <v>0.2</v>
      </c>
      <c r="V27" s="382" t="s">
        <v>15</v>
      </c>
      <c r="W27" s="173">
        <v>0.15</v>
      </c>
      <c r="X27" s="173">
        <v>0.15</v>
      </c>
      <c r="Y27" s="189">
        <v>0.3</v>
      </c>
      <c r="AA27" s="383" t="s">
        <v>15</v>
      </c>
      <c r="AB27" s="157">
        <v>0.2</v>
      </c>
      <c r="AC27" s="158">
        <v>0.2</v>
      </c>
      <c r="AD27" s="159">
        <v>0.3</v>
      </c>
    </row>
    <row r="28" spans="2:30" outlineLevel="1">
      <c r="B28" s="384" t="s">
        <v>27</v>
      </c>
      <c r="C28" s="281">
        <v>0.04</v>
      </c>
      <c r="D28" s="176" t="s">
        <v>31</v>
      </c>
      <c r="E28" s="177">
        <v>0.1</v>
      </c>
      <c r="G28" s="384" t="s">
        <v>27</v>
      </c>
      <c r="H28" s="282">
        <v>0</v>
      </c>
      <c r="I28" s="179">
        <v>0.05</v>
      </c>
      <c r="J28" s="159">
        <v>7.4999999999999997E-2</v>
      </c>
      <c r="L28" s="384" t="s">
        <v>27</v>
      </c>
      <c r="M28" s="282">
        <v>0</v>
      </c>
      <c r="N28" s="176">
        <v>0</v>
      </c>
      <c r="O28" s="177">
        <v>0</v>
      </c>
      <c r="Q28" s="384" t="s">
        <v>27</v>
      </c>
      <c r="R28" s="281">
        <v>0.04</v>
      </c>
      <c r="S28" s="176" t="s">
        <v>31</v>
      </c>
      <c r="T28" s="177">
        <v>0.1</v>
      </c>
      <c r="V28" s="384" t="s">
        <v>27</v>
      </c>
      <c r="W28" s="282">
        <v>0</v>
      </c>
      <c r="X28" s="179">
        <v>0</v>
      </c>
      <c r="Y28" s="177">
        <v>0</v>
      </c>
      <c r="AA28" s="385" t="s">
        <v>27</v>
      </c>
      <c r="AB28" s="175">
        <v>0</v>
      </c>
      <c r="AC28" s="176">
        <v>0</v>
      </c>
      <c r="AD28" s="177">
        <v>0</v>
      </c>
    </row>
    <row r="29" spans="2:30" outlineLevel="1">
      <c r="B29" s="384" t="s">
        <v>30</v>
      </c>
      <c r="C29" s="281">
        <v>0.04</v>
      </c>
      <c r="D29" s="176" t="s">
        <v>31</v>
      </c>
      <c r="E29" s="177">
        <v>0.1</v>
      </c>
      <c r="G29" s="384" t="s">
        <v>30</v>
      </c>
      <c r="H29" s="281">
        <v>0</v>
      </c>
      <c r="I29" s="176">
        <v>0.05</v>
      </c>
      <c r="J29" s="177">
        <v>7.4999999999999997E-2</v>
      </c>
      <c r="L29" s="384" t="s">
        <v>30</v>
      </c>
      <c r="M29" s="281">
        <v>0</v>
      </c>
      <c r="N29" s="176">
        <v>0</v>
      </c>
      <c r="O29" s="177">
        <v>0</v>
      </c>
      <c r="Q29" s="384" t="s">
        <v>30</v>
      </c>
      <c r="R29" s="281">
        <v>0.04</v>
      </c>
      <c r="S29" s="176" t="s">
        <v>31</v>
      </c>
      <c r="T29" s="177">
        <v>0.1</v>
      </c>
      <c r="V29" s="384" t="s">
        <v>30</v>
      </c>
      <c r="W29" s="281">
        <v>0</v>
      </c>
      <c r="X29" s="176">
        <v>0</v>
      </c>
      <c r="Y29" s="177">
        <v>0</v>
      </c>
      <c r="AA29" s="385" t="s">
        <v>30</v>
      </c>
      <c r="AB29" s="175">
        <v>0</v>
      </c>
      <c r="AC29" s="176">
        <v>0</v>
      </c>
      <c r="AD29" s="177">
        <v>0</v>
      </c>
    </row>
    <row r="30" spans="2:30" outlineLevel="1">
      <c r="B30" s="384" t="s">
        <v>32</v>
      </c>
      <c r="C30" s="281">
        <v>0</v>
      </c>
      <c r="D30" s="176">
        <v>0</v>
      </c>
      <c r="E30" s="177" t="s">
        <v>29</v>
      </c>
      <c r="G30" s="384" t="s">
        <v>32</v>
      </c>
      <c r="H30" s="281">
        <v>0.1</v>
      </c>
      <c r="I30" s="176">
        <v>0.1</v>
      </c>
      <c r="J30" s="177">
        <v>0.2</v>
      </c>
      <c r="L30" s="384" t="s">
        <v>32</v>
      </c>
      <c r="M30" s="281">
        <v>0.2</v>
      </c>
      <c r="N30" s="176">
        <v>0.2</v>
      </c>
      <c r="O30" s="177">
        <v>0.25</v>
      </c>
      <c r="Q30" s="384" t="s">
        <v>32</v>
      </c>
      <c r="R30" s="281">
        <v>0</v>
      </c>
      <c r="S30" s="176">
        <v>0</v>
      </c>
      <c r="T30" s="177" t="s">
        <v>29</v>
      </c>
      <c r="V30" s="384" t="s">
        <v>32</v>
      </c>
      <c r="W30" s="281">
        <v>0.15</v>
      </c>
      <c r="X30" s="176">
        <v>0.15</v>
      </c>
      <c r="Y30" s="177">
        <v>0.3</v>
      </c>
      <c r="AA30" s="385" t="s">
        <v>32</v>
      </c>
      <c r="AB30" s="175">
        <v>0.2</v>
      </c>
      <c r="AC30" s="176">
        <v>0.2</v>
      </c>
      <c r="AD30" s="177">
        <v>0.3</v>
      </c>
    </row>
    <row r="31" spans="2:30" outlineLevel="1">
      <c r="B31" s="384" t="s">
        <v>33</v>
      </c>
      <c r="C31" s="283">
        <v>0</v>
      </c>
      <c r="D31" s="181">
        <v>0</v>
      </c>
      <c r="E31" s="182" t="s">
        <v>29</v>
      </c>
      <c r="G31" s="384" t="s">
        <v>33</v>
      </c>
      <c r="H31" s="283">
        <v>0</v>
      </c>
      <c r="I31" s="183">
        <v>0</v>
      </c>
      <c r="J31" s="182" t="s">
        <v>29</v>
      </c>
      <c r="L31" s="384" t="s">
        <v>33</v>
      </c>
      <c r="M31" s="283">
        <v>0</v>
      </c>
      <c r="N31" s="181">
        <v>0</v>
      </c>
      <c r="O31" s="182">
        <v>0</v>
      </c>
      <c r="Q31" s="384" t="s">
        <v>33</v>
      </c>
      <c r="R31" s="283">
        <v>0</v>
      </c>
      <c r="S31" s="181">
        <v>0</v>
      </c>
      <c r="T31" s="182" t="s">
        <v>29</v>
      </c>
      <c r="V31" s="384" t="s">
        <v>33</v>
      </c>
      <c r="W31" s="283">
        <v>0</v>
      </c>
      <c r="X31" s="183">
        <v>0</v>
      </c>
      <c r="Y31" s="182">
        <v>0</v>
      </c>
      <c r="AA31" s="385" t="s">
        <v>33</v>
      </c>
      <c r="AB31" s="180">
        <v>0</v>
      </c>
      <c r="AC31" s="183">
        <v>0</v>
      </c>
      <c r="AD31" s="182">
        <v>0</v>
      </c>
    </row>
    <row r="32" spans="2:30" collapsed="1">
      <c r="B32" s="386" t="s">
        <v>16</v>
      </c>
      <c r="C32" s="284">
        <v>0</v>
      </c>
      <c r="D32" s="161">
        <v>0</v>
      </c>
      <c r="E32" s="162">
        <v>0</v>
      </c>
      <c r="G32" s="386" t="s">
        <v>16</v>
      </c>
      <c r="H32" s="284">
        <v>0</v>
      </c>
      <c r="I32" s="160">
        <v>0</v>
      </c>
      <c r="J32" s="162">
        <v>0</v>
      </c>
      <c r="L32" s="386" t="s">
        <v>16</v>
      </c>
      <c r="M32" s="284">
        <v>0</v>
      </c>
      <c r="N32" s="161">
        <v>0</v>
      </c>
      <c r="O32" s="162">
        <v>0</v>
      </c>
      <c r="Q32" s="386" t="s">
        <v>16</v>
      </c>
      <c r="R32" s="284">
        <v>0</v>
      </c>
      <c r="S32" s="161">
        <v>0</v>
      </c>
      <c r="T32" s="162">
        <v>0</v>
      </c>
      <c r="V32" s="386" t="s">
        <v>16</v>
      </c>
      <c r="W32" s="285">
        <v>0</v>
      </c>
      <c r="X32" s="224">
        <v>0</v>
      </c>
      <c r="Y32" s="162">
        <v>0</v>
      </c>
      <c r="AA32" s="387" t="s">
        <v>16</v>
      </c>
      <c r="AB32" s="160">
        <v>0</v>
      </c>
      <c r="AC32" s="160">
        <v>0</v>
      </c>
      <c r="AD32" s="162">
        <v>0</v>
      </c>
    </row>
    <row r="33" spans="2:30" outlineLevel="1">
      <c r="B33" s="388" t="s">
        <v>34</v>
      </c>
      <c r="C33" s="284"/>
      <c r="D33" s="160">
        <v>0</v>
      </c>
      <c r="E33" s="184"/>
      <c r="G33" s="388" t="s">
        <v>34</v>
      </c>
      <c r="H33" s="284"/>
      <c r="I33" s="160">
        <v>0</v>
      </c>
      <c r="J33" s="184"/>
      <c r="L33" s="389" t="s">
        <v>35</v>
      </c>
      <c r="M33" s="284"/>
      <c r="N33" s="160">
        <v>0</v>
      </c>
      <c r="O33" s="184"/>
      <c r="Q33" s="388" t="s">
        <v>34</v>
      </c>
      <c r="R33" s="284"/>
      <c r="S33" s="160">
        <v>0</v>
      </c>
      <c r="T33" s="184"/>
      <c r="V33" s="388" t="s">
        <v>34</v>
      </c>
      <c r="W33" s="284"/>
      <c r="X33" s="224">
        <v>0</v>
      </c>
      <c r="Y33" s="184"/>
      <c r="AA33" s="389" t="s">
        <v>35</v>
      </c>
      <c r="AB33" s="160"/>
      <c r="AC33" s="160">
        <v>0</v>
      </c>
      <c r="AD33" s="184"/>
    </row>
    <row r="34" spans="2:30" outlineLevel="1">
      <c r="B34" s="388" t="s">
        <v>36</v>
      </c>
      <c r="C34" s="284"/>
      <c r="D34" s="160">
        <v>0</v>
      </c>
      <c r="E34" s="184"/>
      <c r="G34" s="388" t="s">
        <v>36</v>
      </c>
      <c r="H34" s="284"/>
      <c r="I34" s="160">
        <v>0</v>
      </c>
      <c r="J34" s="184"/>
      <c r="L34" s="388" t="s">
        <v>36</v>
      </c>
      <c r="M34" s="284"/>
      <c r="N34" s="160">
        <v>0</v>
      </c>
      <c r="O34" s="184"/>
      <c r="Q34" s="388" t="s">
        <v>36</v>
      </c>
      <c r="R34" s="284"/>
      <c r="S34" s="160">
        <v>0</v>
      </c>
      <c r="T34" s="184"/>
      <c r="V34" s="388" t="s">
        <v>36</v>
      </c>
      <c r="W34" s="284"/>
      <c r="X34" s="160">
        <v>0</v>
      </c>
      <c r="Y34" s="184"/>
      <c r="AA34" s="390" t="s">
        <v>36</v>
      </c>
      <c r="AB34" s="160"/>
      <c r="AC34" s="160">
        <v>0</v>
      </c>
      <c r="AD34" s="184"/>
    </row>
    <row r="35" spans="2:30" collapsed="1">
      <c r="B35" s="391" t="s">
        <v>17</v>
      </c>
      <c r="C35" s="286">
        <v>0</v>
      </c>
      <c r="D35" s="287">
        <v>0</v>
      </c>
      <c r="E35" s="288">
        <v>0</v>
      </c>
      <c r="G35" s="391" t="s">
        <v>17</v>
      </c>
      <c r="H35" s="286">
        <v>0</v>
      </c>
      <c r="I35" s="287">
        <v>0</v>
      </c>
      <c r="J35" s="288">
        <v>0</v>
      </c>
      <c r="L35" s="391" t="s">
        <v>17</v>
      </c>
      <c r="M35" s="286">
        <v>0</v>
      </c>
      <c r="N35" s="287">
        <v>0</v>
      </c>
      <c r="O35" s="288">
        <v>0</v>
      </c>
      <c r="Q35" s="391" t="s">
        <v>17</v>
      </c>
      <c r="R35" s="286">
        <v>0.15</v>
      </c>
      <c r="S35" s="287">
        <v>0.2</v>
      </c>
      <c r="T35" s="288">
        <v>0.25</v>
      </c>
      <c r="V35" s="391" t="s">
        <v>17</v>
      </c>
      <c r="W35" s="286">
        <v>0.15</v>
      </c>
      <c r="X35" s="287">
        <v>0.2</v>
      </c>
      <c r="Y35" s="288">
        <v>0.25</v>
      </c>
      <c r="AA35" s="392" t="s">
        <v>17</v>
      </c>
      <c r="AB35" s="286">
        <v>0.15</v>
      </c>
      <c r="AC35" s="287">
        <v>0.2</v>
      </c>
      <c r="AD35" s="288">
        <v>0.25</v>
      </c>
    </row>
    <row r="36" spans="2:30" outlineLevel="1">
      <c r="B36" s="393" t="s">
        <v>37</v>
      </c>
      <c r="C36" s="289"/>
      <c r="D36" s="289">
        <v>0</v>
      </c>
      <c r="E36" s="290"/>
      <c r="G36" s="393" t="s">
        <v>37</v>
      </c>
      <c r="H36" s="289"/>
      <c r="I36" s="289">
        <v>0</v>
      </c>
      <c r="J36" s="290"/>
      <c r="L36" s="393" t="s">
        <v>37</v>
      </c>
      <c r="M36" s="289"/>
      <c r="N36" s="289">
        <v>0</v>
      </c>
      <c r="O36" s="290"/>
      <c r="Q36" s="393" t="s">
        <v>37</v>
      </c>
      <c r="R36" s="289">
        <v>0.15</v>
      </c>
      <c r="S36" s="289">
        <v>0.2</v>
      </c>
      <c r="T36" s="290">
        <v>0.25</v>
      </c>
      <c r="V36" s="393" t="s">
        <v>37</v>
      </c>
      <c r="W36" s="289">
        <v>0.15</v>
      </c>
      <c r="X36" s="289">
        <v>0.2</v>
      </c>
      <c r="Y36" s="290">
        <v>0.25</v>
      </c>
      <c r="AA36" s="393" t="s">
        <v>37</v>
      </c>
      <c r="AB36" s="289">
        <v>0.15</v>
      </c>
      <c r="AC36" s="289">
        <v>0.2</v>
      </c>
      <c r="AD36" s="290">
        <v>0.25</v>
      </c>
    </row>
    <row r="37" spans="2:30" outlineLevel="1">
      <c r="B37" s="393" t="s">
        <v>38</v>
      </c>
      <c r="C37" s="185"/>
      <c r="D37" s="185">
        <v>0</v>
      </c>
      <c r="E37" s="164"/>
      <c r="G37" s="393" t="s">
        <v>38</v>
      </c>
      <c r="H37" s="185"/>
      <c r="I37" s="185">
        <v>0</v>
      </c>
      <c r="J37" s="164"/>
      <c r="L37" s="393" t="s">
        <v>38</v>
      </c>
      <c r="M37" s="185"/>
      <c r="N37" s="185">
        <v>0</v>
      </c>
      <c r="O37" s="164"/>
      <c r="Q37" s="393" t="s">
        <v>38</v>
      </c>
      <c r="R37" s="185">
        <v>0</v>
      </c>
      <c r="S37" s="185">
        <v>0</v>
      </c>
      <c r="T37" s="164">
        <v>0</v>
      </c>
      <c r="V37" s="393" t="s">
        <v>38</v>
      </c>
      <c r="W37" s="185">
        <v>0</v>
      </c>
      <c r="X37" s="185">
        <v>0</v>
      </c>
      <c r="Y37" s="164">
        <v>0</v>
      </c>
      <c r="AA37" s="393" t="s">
        <v>38</v>
      </c>
      <c r="AB37" s="185">
        <v>0</v>
      </c>
      <c r="AC37" s="185">
        <v>0</v>
      </c>
      <c r="AD37" s="164">
        <v>0</v>
      </c>
    </row>
    <row r="38" spans="2:30" collapsed="1">
      <c r="P38" s="5" t="s">
        <v>14</v>
      </c>
    </row>
    <row r="39" spans="2:30" ht="39" customHeight="1">
      <c r="B39" s="394" t="s">
        <v>39</v>
      </c>
      <c r="C39" s="370" t="s">
        <v>2</v>
      </c>
      <c r="D39" s="395" t="s">
        <v>3</v>
      </c>
      <c r="E39" s="396" t="s">
        <v>4</v>
      </c>
      <c r="F39" s="55"/>
      <c r="G39" s="368" t="s">
        <v>40</v>
      </c>
      <c r="H39" s="365" t="s">
        <v>2</v>
      </c>
      <c r="I39" s="370" t="s">
        <v>3</v>
      </c>
      <c r="J39" s="367" t="s">
        <v>4</v>
      </c>
      <c r="K39" s="55"/>
      <c r="L39" s="368" t="s">
        <v>41</v>
      </c>
      <c r="M39" s="370" t="s">
        <v>2</v>
      </c>
      <c r="N39" s="370" t="s">
        <v>3</v>
      </c>
      <c r="O39" s="367" t="s">
        <v>4</v>
      </c>
    </row>
    <row r="40" spans="2:30">
      <c r="B40" s="373" t="s">
        <v>5</v>
      </c>
      <c r="C40" s="186">
        <v>0.3</v>
      </c>
      <c r="D40" s="186">
        <v>0.4</v>
      </c>
      <c r="E40" s="148">
        <v>0.5</v>
      </c>
      <c r="G40" s="372" t="s">
        <v>5</v>
      </c>
      <c r="H40" s="274">
        <v>0.4</v>
      </c>
      <c r="I40" s="146">
        <v>0.55000000000000004</v>
      </c>
      <c r="J40" s="187">
        <v>0.6</v>
      </c>
      <c r="L40" s="373" t="s">
        <v>5</v>
      </c>
      <c r="M40" s="186">
        <v>0.4</v>
      </c>
      <c r="N40" s="146">
        <v>0.55000000000000004</v>
      </c>
      <c r="O40" s="187">
        <v>0.6</v>
      </c>
    </row>
    <row r="41" spans="2:30" outlineLevel="1">
      <c r="B41" s="375" t="s">
        <v>6</v>
      </c>
      <c r="C41" s="149">
        <v>0.3</v>
      </c>
      <c r="D41" s="149">
        <v>0.4</v>
      </c>
      <c r="E41" s="151">
        <v>0.5</v>
      </c>
      <c r="G41" s="374" t="s">
        <v>6</v>
      </c>
      <c r="H41" s="275">
        <v>0.3</v>
      </c>
      <c r="I41" s="149">
        <v>0.4</v>
      </c>
      <c r="J41" s="151">
        <v>0.5</v>
      </c>
      <c r="L41" s="375" t="s">
        <v>6</v>
      </c>
      <c r="M41" s="149">
        <v>0.2</v>
      </c>
      <c r="N41" s="149">
        <v>0.3</v>
      </c>
      <c r="O41" s="151">
        <v>0.4</v>
      </c>
    </row>
    <row r="42" spans="2:30" outlineLevel="2">
      <c r="B42" s="377" t="s">
        <v>7</v>
      </c>
      <c r="C42" s="150">
        <v>0.2</v>
      </c>
      <c r="D42" s="150">
        <v>0.2</v>
      </c>
      <c r="E42" s="152">
        <v>0.3</v>
      </c>
      <c r="G42" s="376" t="s">
        <v>7</v>
      </c>
      <c r="H42" s="273">
        <v>0.2</v>
      </c>
      <c r="I42" s="150">
        <v>0.2</v>
      </c>
      <c r="J42" s="152">
        <v>0.3</v>
      </c>
      <c r="L42" s="377" t="s">
        <v>7</v>
      </c>
      <c r="M42" s="150">
        <v>0.2</v>
      </c>
      <c r="N42" s="150">
        <v>0.2</v>
      </c>
      <c r="O42" s="152">
        <v>0.2</v>
      </c>
    </row>
    <row r="43" spans="2:30" outlineLevel="2">
      <c r="B43" s="377" t="s">
        <v>8</v>
      </c>
      <c r="C43" s="150">
        <v>0.1</v>
      </c>
      <c r="D43" s="150">
        <v>0.1</v>
      </c>
      <c r="E43" s="152">
        <v>0.2</v>
      </c>
      <c r="G43" s="376" t="s">
        <v>8</v>
      </c>
      <c r="H43" s="273">
        <v>0.1</v>
      </c>
      <c r="I43" s="150">
        <v>0.1</v>
      </c>
      <c r="J43" s="152">
        <v>0.2</v>
      </c>
      <c r="L43" s="377" t="s">
        <v>8</v>
      </c>
      <c r="M43" s="150">
        <v>0.1</v>
      </c>
      <c r="N43" s="150">
        <v>0.1</v>
      </c>
      <c r="O43" s="152">
        <v>0.1</v>
      </c>
    </row>
    <row r="44" spans="2:30" outlineLevel="2">
      <c r="B44" s="377" t="s">
        <v>9</v>
      </c>
      <c r="C44" s="150">
        <v>0</v>
      </c>
      <c r="D44" s="150">
        <v>0.05</v>
      </c>
      <c r="E44" s="152">
        <v>0.05</v>
      </c>
      <c r="G44" s="376" t="s">
        <v>9</v>
      </c>
      <c r="H44" s="273">
        <v>0</v>
      </c>
      <c r="I44" s="150">
        <v>0.05</v>
      </c>
      <c r="J44" s="152">
        <v>0.05</v>
      </c>
      <c r="L44" s="377" t="s">
        <v>9</v>
      </c>
      <c r="M44" s="150">
        <v>0</v>
      </c>
      <c r="N44" s="150">
        <v>0</v>
      </c>
      <c r="O44" s="152">
        <v>0</v>
      </c>
    </row>
    <row r="45" spans="2:30" outlineLevel="2">
      <c r="B45" s="377" t="s">
        <v>10</v>
      </c>
      <c r="C45" s="150">
        <v>0</v>
      </c>
      <c r="D45" s="150">
        <v>0.05</v>
      </c>
      <c r="E45" s="152">
        <v>0.05</v>
      </c>
      <c r="G45" s="376" t="s">
        <v>10</v>
      </c>
      <c r="H45" s="273">
        <v>0</v>
      </c>
      <c r="I45" s="150">
        <v>0.05</v>
      </c>
      <c r="J45" s="152">
        <v>0.05</v>
      </c>
      <c r="L45" s="377" t="s">
        <v>10</v>
      </c>
      <c r="M45" s="150">
        <v>0</v>
      </c>
      <c r="N45" s="150">
        <v>0</v>
      </c>
      <c r="O45" s="152">
        <v>0</v>
      </c>
    </row>
    <row r="46" spans="2:30" outlineLevel="1">
      <c r="B46" s="375" t="s">
        <v>12</v>
      </c>
      <c r="C46" s="153">
        <v>0</v>
      </c>
      <c r="D46" s="153">
        <v>0</v>
      </c>
      <c r="E46" s="152">
        <v>0</v>
      </c>
      <c r="G46" s="374" t="s">
        <v>12</v>
      </c>
      <c r="H46" s="147">
        <v>0.15</v>
      </c>
      <c r="I46" s="153">
        <v>0.15</v>
      </c>
      <c r="J46" s="152">
        <v>0.2</v>
      </c>
      <c r="L46" s="375" t="s">
        <v>12</v>
      </c>
      <c r="M46" s="153">
        <v>0.25</v>
      </c>
      <c r="N46" s="153">
        <v>0.25</v>
      </c>
      <c r="O46" s="152">
        <v>0.3</v>
      </c>
    </row>
    <row r="47" spans="2:30" collapsed="1">
      <c r="B47" s="379" t="s">
        <v>13</v>
      </c>
      <c r="C47" s="188">
        <v>0</v>
      </c>
      <c r="D47" s="188">
        <v>0.1</v>
      </c>
      <c r="E47" s="155" t="s">
        <v>42</v>
      </c>
      <c r="G47" s="378" t="s">
        <v>13</v>
      </c>
      <c r="H47" s="278">
        <v>0</v>
      </c>
      <c r="I47" s="155">
        <v>0.05</v>
      </c>
      <c r="J47" s="156">
        <v>0.1</v>
      </c>
      <c r="L47" s="379" t="s">
        <v>13</v>
      </c>
      <c r="M47" s="188">
        <v>0</v>
      </c>
      <c r="N47" s="155">
        <v>0</v>
      </c>
      <c r="O47" s="156">
        <v>0.1</v>
      </c>
    </row>
    <row r="48" spans="2:30" outlineLevel="1">
      <c r="B48" s="381" t="s">
        <v>27</v>
      </c>
      <c r="C48" s="154"/>
      <c r="D48" s="154">
        <v>0.05</v>
      </c>
      <c r="E48" s="168"/>
      <c r="G48" s="380" t="s">
        <v>27</v>
      </c>
      <c r="H48" s="276"/>
      <c r="I48" s="154" t="s">
        <v>29</v>
      </c>
      <c r="J48" s="168"/>
      <c r="L48" s="381" t="s">
        <v>27</v>
      </c>
      <c r="M48" s="154"/>
      <c r="N48" s="154">
        <v>0</v>
      </c>
      <c r="O48" s="168"/>
    </row>
    <row r="49" spans="2:16" outlineLevel="1">
      <c r="B49" s="381" t="s">
        <v>30</v>
      </c>
      <c r="C49" s="171"/>
      <c r="D49" s="171">
        <v>0.05</v>
      </c>
      <c r="E49" s="170"/>
      <c r="G49" s="380" t="s">
        <v>30</v>
      </c>
      <c r="H49" s="279"/>
      <c r="I49" s="171" t="s">
        <v>29</v>
      </c>
      <c r="J49" s="170"/>
      <c r="L49" s="381" t="s">
        <v>30</v>
      </c>
      <c r="M49" s="166"/>
      <c r="N49" s="166">
        <v>0</v>
      </c>
      <c r="O49" s="170"/>
    </row>
    <row r="50" spans="2:16" collapsed="1">
      <c r="B50" s="383" t="s">
        <v>15</v>
      </c>
      <c r="C50" s="172">
        <v>0.1</v>
      </c>
      <c r="D50" s="280">
        <v>0.2</v>
      </c>
      <c r="E50" s="291">
        <v>0.3</v>
      </c>
      <c r="G50" s="382" t="s">
        <v>15</v>
      </c>
      <c r="H50" s="173">
        <v>0.15</v>
      </c>
      <c r="I50" s="173">
        <v>0.15</v>
      </c>
      <c r="J50" s="189">
        <v>0.3</v>
      </c>
      <c r="L50" s="383" t="s">
        <v>15</v>
      </c>
      <c r="M50" s="157">
        <v>0.2</v>
      </c>
      <c r="N50" s="158">
        <v>0.2</v>
      </c>
      <c r="O50" s="159">
        <v>0.3</v>
      </c>
    </row>
    <row r="51" spans="2:16" outlineLevel="1">
      <c r="B51" s="385" t="s">
        <v>27</v>
      </c>
      <c r="C51" s="178">
        <v>0.05</v>
      </c>
      <c r="D51" s="179" t="s">
        <v>31</v>
      </c>
      <c r="E51" s="292">
        <v>0.15</v>
      </c>
      <c r="G51" s="384" t="s">
        <v>27</v>
      </c>
      <c r="H51" s="282">
        <v>0</v>
      </c>
      <c r="I51" s="179">
        <v>2.5000000000000001E-2</v>
      </c>
      <c r="J51" s="177">
        <v>0.05</v>
      </c>
      <c r="L51" s="385" t="s">
        <v>27</v>
      </c>
      <c r="M51" s="175">
        <v>0</v>
      </c>
      <c r="N51" s="176">
        <v>0</v>
      </c>
      <c r="O51" s="177">
        <v>0</v>
      </c>
    </row>
    <row r="52" spans="2:16" outlineLevel="1">
      <c r="B52" s="385" t="s">
        <v>30</v>
      </c>
      <c r="C52" s="175">
        <v>0.05</v>
      </c>
      <c r="D52" s="176" t="s">
        <v>31</v>
      </c>
      <c r="E52" s="292">
        <v>0.15</v>
      </c>
      <c r="G52" s="384" t="s">
        <v>30</v>
      </c>
      <c r="H52" s="281">
        <v>0</v>
      </c>
      <c r="I52" s="176">
        <v>2.5000000000000001E-2</v>
      </c>
      <c r="J52" s="177">
        <v>0.05</v>
      </c>
      <c r="L52" s="385" t="s">
        <v>30</v>
      </c>
      <c r="M52" s="175">
        <v>0</v>
      </c>
      <c r="N52" s="176">
        <v>0</v>
      </c>
      <c r="O52" s="177">
        <v>0</v>
      </c>
    </row>
    <row r="53" spans="2:16" outlineLevel="1">
      <c r="B53" s="385" t="s">
        <v>32</v>
      </c>
      <c r="C53" s="175">
        <v>0</v>
      </c>
      <c r="D53" s="176">
        <v>0</v>
      </c>
      <c r="E53" s="292">
        <v>0</v>
      </c>
      <c r="G53" s="384" t="s">
        <v>32</v>
      </c>
      <c r="H53" s="281">
        <v>0.05</v>
      </c>
      <c r="I53" s="176">
        <v>0.1</v>
      </c>
      <c r="J53" s="177">
        <v>0.15</v>
      </c>
      <c r="L53" s="385" t="s">
        <v>32</v>
      </c>
      <c r="M53" s="175">
        <v>0.2</v>
      </c>
      <c r="N53" s="176">
        <v>0.2</v>
      </c>
      <c r="O53" s="177">
        <v>0.3</v>
      </c>
    </row>
    <row r="54" spans="2:16" outlineLevel="1">
      <c r="B54" s="385" t="s">
        <v>33</v>
      </c>
      <c r="C54" s="180">
        <v>0</v>
      </c>
      <c r="D54" s="183">
        <v>0.05</v>
      </c>
      <c r="E54" s="293">
        <v>0.1</v>
      </c>
      <c r="G54" s="384" t="s">
        <v>33</v>
      </c>
      <c r="H54" s="283">
        <v>0</v>
      </c>
      <c r="I54" s="183">
        <v>0</v>
      </c>
      <c r="J54" s="182">
        <v>0</v>
      </c>
      <c r="L54" s="385" t="s">
        <v>33</v>
      </c>
      <c r="M54" s="180">
        <v>0</v>
      </c>
      <c r="N54" s="183">
        <v>0</v>
      </c>
      <c r="O54" s="182">
        <v>0</v>
      </c>
    </row>
    <row r="55" spans="2:16" collapsed="1">
      <c r="B55" s="387" t="s">
        <v>16</v>
      </c>
      <c r="C55" s="160">
        <v>0.1</v>
      </c>
      <c r="D55" s="160">
        <v>0.15</v>
      </c>
      <c r="E55" s="162">
        <v>0.2</v>
      </c>
      <c r="G55" s="386" t="s">
        <v>16</v>
      </c>
      <c r="H55" s="285">
        <v>0.125</v>
      </c>
      <c r="I55" s="224">
        <v>0.125</v>
      </c>
      <c r="J55" s="162">
        <v>0.2</v>
      </c>
      <c r="L55" s="387" t="s">
        <v>16</v>
      </c>
      <c r="M55" s="160">
        <v>0.15</v>
      </c>
      <c r="N55" s="160">
        <v>0.15</v>
      </c>
      <c r="O55" s="162">
        <v>0.25</v>
      </c>
    </row>
    <row r="56" spans="2:16" outlineLevel="1">
      <c r="B56" s="388" t="s">
        <v>34</v>
      </c>
      <c r="C56" s="160">
        <v>0.05</v>
      </c>
      <c r="D56" s="160">
        <v>0.15</v>
      </c>
      <c r="E56" s="184">
        <v>0.2</v>
      </c>
      <c r="G56" s="388" t="s">
        <v>34</v>
      </c>
      <c r="H56" s="284">
        <v>0</v>
      </c>
      <c r="I56" s="224">
        <v>7.4999999999999997E-2</v>
      </c>
      <c r="J56" s="184">
        <v>0.15</v>
      </c>
      <c r="L56" s="389" t="s">
        <v>35</v>
      </c>
      <c r="M56" s="160">
        <v>0</v>
      </c>
      <c r="N56" s="160">
        <v>0.05</v>
      </c>
      <c r="O56" s="184">
        <v>0.1</v>
      </c>
    </row>
    <row r="57" spans="2:16" outlineLevel="1">
      <c r="B57" s="390" t="s">
        <v>36</v>
      </c>
      <c r="C57" s="160">
        <v>0</v>
      </c>
      <c r="D57" s="160">
        <v>0</v>
      </c>
      <c r="E57" s="184">
        <v>0.05</v>
      </c>
      <c r="G57" s="388" t="s">
        <v>36</v>
      </c>
      <c r="H57" s="284">
        <v>0.05</v>
      </c>
      <c r="I57" s="160">
        <v>0.05</v>
      </c>
      <c r="J57" s="184">
        <v>0.2</v>
      </c>
      <c r="L57" s="390" t="s">
        <v>36</v>
      </c>
      <c r="M57" s="160">
        <v>0.05</v>
      </c>
      <c r="N57" s="160">
        <v>0.1</v>
      </c>
      <c r="O57" s="184">
        <v>0.25</v>
      </c>
    </row>
    <row r="58" spans="2:16" collapsed="1">
      <c r="B58" s="392" t="s">
        <v>17</v>
      </c>
      <c r="C58" s="287">
        <v>0.05</v>
      </c>
      <c r="D58" s="287">
        <v>0.15</v>
      </c>
      <c r="E58" s="288">
        <v>0.2</v>
      </c>
      <c r="G58" s="391" t="s">
        <v>17</v>
      </c>
      <c r="H58" s="286">
        <v>0.05</v>
      </c>
      <c r="I58" s="294">
        <v>0.125</v>
      </c>
      <c r="J58" s="288">
        <v>0.15</v>
      </c>
      <c r="L58" s="392" t="s">
        <v>17</v>
      </c>
      <c r="M58" s="287">
        <v>0.05</v>
      </c>
      <c r="N58" s="287">
        <v>0.1</v>
      </c>
      <c r="O58" s="288">
        <v>0.15</v>
      </c>
    </row>
    <row r="59" spans="2:16" outlineLevel="1">
      <c r="B59" s="393" t="s">
        <v>37</v>
      </c>
      <c r="C59" s="289">
        <v>0</v>
      </c>
      <c r="D59" s="295">
        <v>7.4999999999999997E-2</v>
      </c>
      <c r="E59" s="296">
        <v>0.15</v>
      </c>
      <c r="G59" s="397" t="s">
        <v>37</v>
      </c>
      <c r="H59" s="289">
        <v>0</v>
      </c>
      <c r="I59" s="289">
        <v>0.05</v>
      </c>
      <c r="J59" s="290">
        <v>0.1</v>
      </c>
      <c r="L59" s="393" t="s">
        <v>37</v>
      </c>
      <c r="M59" s="289">
        <v>0</v>
      </c>
      <c r="N59" s="289">
        <v>0.05</v>
      </c>
      <c r="O59" s="290">
        <v>0.15</v>
      </c>
    </row>
    <row r="60" spans="2:16" outlineLevel="1">
      <c r="B60" s="393" t="s">
        <v>38</v>
      </c>
      <c r="C60" s="185">
        <v>0.05</v>
      </c>
      <c r="D60" s="225">
        <v>7.4999999999999997E-2</v>
      </c>
      <c r="E60" s="297">
        <v>0.2</v>
      </c>
      <c r="G60" s="397" t="s">
        <v>38</v>
      </c>
      <c r="H60" s="185">
        <v>0.05</v>
      </c>
      <c r="I60" s="225">
        <v>7.4999999999999997E-2</v>
      </c>
      <c r="J60" s="164">
        <v>0.15</v>
      </c>
      <c r="L60" s="393" t="s">
        <v>38</v>
      </c>
      <c r="M60" s="185">
        <v>0</v>
      </c>
      <c r="N60" s="185">
        <v>0.05</v>
      </c>
      <c r="O60" s="164">
        <v>0.15</v>
      </c>
    </row>
    <row r="61" spans="2:16" collapsed="1"/>
    <row r="62" spans="2:16" ht="31.5" customHeight="1">
      <c r="B62" s="394" t="s">
        <v>43</v>
      </c>
      <c r="C62" s="370" t="s">
        <v>2</v>
      </c>
      <c r="D62" s="370" t="s">
        <v>3</v>
      </c>
      <c r="E62" s="367" t="s">
        <v>4</v>
      </c>
      <c r="F62" s="55"/>
      <c r="G62" s="398" t="s">
        <v>44</v>
      </c>
      <c r="H62" s="399" t="s">
        <v>2</v>
      </c>
      <c r="I62" s="396" t="s">
        <v>3</v>
      </c>
      <c r="J62" s="400" t="s">
        <v>4</v>
      </c>
      <c r="K62" s="55"/>
      <c r="L62" s="401" t="s">
        <v>45</v>
      </c>
      <c r="M62" s="402" t="s">
        <v>2</v>
      </c>
      <c r="N62" s="396" t="s">
        <v>3</v>
      </c>
      <c r="O62" s="403" t="s">
        <v>4</v>
      </c>
      <c r="P62" s="68"/>
    </row>
    <row r="63" spans="2:16">
      <c r="B63" s="373" t="s">
        <v>5</v>
      </c>
      <c r="C63" s="186">
        <v>0.2</v>
      </c>
      <c r="D63" s="146">
        <v>0.3</v>
      </c>
      <c r="E63" s="187">
        <v>0.4</v>
      </c>
      <c r="G63" s="356" t="s">
        <v>5</v>
      </c>
      <c r="H63" s="186">
        <v>0.2</v>
      </c>
      <c r="I63" s="146">
        <v>0.35</v>
      </c>
      <c r="J63" s="187">
        <v>0.4</v>
      </c>
      <c r="L63" s="373" t="s">
        <v>5</v>
      </c>
      <c r="M63" s="186">
        <v>0.1</v>
      </c>
      <c r="N63" s="146">
        <v>0.3</v>
      </c>
      <c r="O63" s="187">
        <v>0.25</v>
      </c>
    </row>
    <row r="64" spans="2:16" outlineLevel="1">
      <c r="B64" s="375" t="s">
        <v>6</v>
      </c>
      <c r="C64" s="149">
        <v>0.2</v>
      </c>
      <c r="D64" s="298">
        <v>0.3</v>
      </c>
      <c r="E64" s="299">
        <v>0.4</v>
      </c>
      <c r="G64" s="358" t="s">
        <v>6</v>
      </c>
      <c r="H64" s="149">
        <v>0.2</v>
      </c>
      <c r="I64" s="298">
        <v>0.3</v>
      </c>
      <c r="J64" s="299">
        <v>0.4</v>
      </c>
      <c r="L64" s="375" t="s">
        <v>6</v>
      </c>
      <c r="M64" s="300">
        <v>0.1</v>
      </c>
      <c r="N64" s="298">
        <v>0.2</v>
      </c>
      <c r="O64" s="299">
        <v>0.2</v>
      </c>
    </row>
    <row r="65" spans="2:17" outlineLevel="2">
      <c r="B65" s="377" t="s">
        <v>7</v>
      </c>
      <c r="C65" s="150">
        <v>0.2</v>
      </c>
      <c r="D65" s="151">
        <v>0.2</v>
      </c>
      <c r="E65" s="301">
        <v>0.3</v>
      </c>
      <c r="G65" s="359" t="s">
        <v>7</v>
      </c>
      <c r="H65" s="150">
        <v>0.2</v>
      </c>
      <c r="I65" s="151">
        <v>0.2</v>
      </c>
      <c r="J65" s="301">
        <v>0.3</v>
      </c>
      <c r="L65" s="377" t="s">
        <v>7</v>
      </c>
      <c r="M65" s="302">
        <v>0.1</v>
      </c>
      <c r="N65" s="151">
        <v>0.1</v>
      </c>
      <c r="O65" s="301">
        <v>0.2</v>
      </c>
    </row>
    <row r="66" spans="2:17" outlineLevel="2">
      <c r="B66" s="377" t="s">
        <v>8</v>
      </c>
      <c r="C66" s="150">
        <v>0</v>
      </c>
      <c r="D66" s="151">
        <v>0.1</v>
      </c>
      <c r="E66" s="301">
        <v>0.1</v>
      </c>
      <c r="G66" s="359" t="s">
        <v>8</v>
      </c>
      <c r="H66" s="150">
        <v>0</v>
      </c>
      <c r="I66" s="151">
        <v>0.1</v>
      </c>
      <c r="J66" s="301">
        <v>0.1</v>
      </c>
      <c r="L66" s="377" t="s">
        <v>8</v>
      </c>
      <c r="M66" s="302">
        <v>0</v>
      </c>
      <c r="N66" s="151">
        <v>0.1</v>
      </c>
      <c r="O66" s="301">
        <v>0.1</v>
      </c>
    </row>
    <row r="67" spans="2:17" outlineLevel="2">
      <c r="B67" s="377" t="s">
        <v>9</v>
      </c>
      <c r="C67" s="150">
        <v>0</v>
      </c>
      <c r="D67" s="151">
        <v>0</v>
      </c>
      <c r="E67" s="301">
        <v>0</v>
      </c>
      <c r="G67" s="359" t="s">
        <v>9</v>
      </c>
      <c r="H67" s="150">
        <v>0</v>
      </c>
      <c r="I67" s="151">
        <v>0</v>
      </c>
      <c r="J67" s="301">
        <v>0</v>
      </c>
      <c r="L67" s="377" t="s">
        <v>9</v>
      </c>
      <c r="M67" s="302">
        <v>0</v>
      </c>
      <c r="N67" s="151">
        <v>0</v>
      </c>
      <c r="O67" s="301">
        <v>0</v>
      </c>
    </row>
    <row r="68" spans="2:17" outlineLevel="2">
      <c r="B68" s="377" t="s">
        <v>10</v>
      </c>
      <c r="C68" s="150">
        <v>0</v>
      </c>
      <c r="D68" s="151">
        <v>0</v>
      </c>
      <c r="E68" s="301">
        <v>0</v>
      </c>
      <c r="G68" s="359" t="s">
        <v>10</v>
      </c>
      <c r="H68" s="150">
        <v>0</v>
      </c>
      <c r="I68" s="151">
        <v>0</v>
      </c>
      <c r="J68" s="301">
        <v>0</v>
      </c>
      <c r="L68" s="377" t="s">
        <v>10</v>
      </c>
      <c r="M68" s="302">
        <v>0</v>
      </c>
      <c r="N68" s="151">
        <v>0</v>
      </c>
      <c r="O68" s="301">
        <v>0</v>
      </c>
    </row>
    <row r="69" spans="2:17" outlineLevel="1">
      <c r="B69" s="375" t="s">
        <v>12</v>
      </c>
      <c r="C69" s="153">
        <v>0</v>
      </c>
      <c r="D69" s="152">
        <v>0</v>
      </c>
      <c r="E69" s="301">
        <v>0</v>
      </c>
      <c r="G69" s="358" t="s">
        <v>12</v>
      </c>
      <c r="H69" s="153">
        <v>0</v>
      </c>
      <c r="I69" s="152">
        <v>0.05</v>
      </c>
      <c r="J69" s="301">
        <v>0.05</v>
      </c>
      <c r="L69" s="375" t="s">
        <v>12</v>
      </c>
      <c r="M69" s="303">
        <v>0</v>
      </c>
      <c r="N69" s="152">
        <v>0.1</v>
      </c>
      <c r="O69" s="301">
        <v>0.2</v>
      </c>
    </row>
    <row r="70" spans="2:17" collapsed="1">
      <c r="B70" s="379" t="s">
        <v>13</v>
      </c>
      <c r="C70" s="188" t="s">
        <v>29</v>
      </c>
      <c r="D70" s="155">
        <v>0.05</v>
      </c>
      <c r="E70" s="156" t="s">
        <v>31</v>
      </c>
      <c r="G70" s="404" t="s">
        <v>13</v>
      </c>
      <c r="H70" s="188" t="s">
        <v>29</v>
      </c>
      <c r="I70" s="155">
        <v>0.05</v>
      </c>
      <c r="J70" s="156" t="s">
        <v>31</v>
      </c>
      <c r="L70" s="379" t="s">
        <v>13</v>
      </c>
      <c r="M70" s="188">
        <v>0</v>
      </c>
      <c r="N70" s="155">
        <v>0</v>
      </c>
      <c r="O70" s="156">
        <v>0.05</v>
      </c>
    </row>
    <row r="71" spans="2:17" outlineLevel="1">
      <c r="B71" s="381" t="s">
        <v>27</v>
      </c>
      <c r="C71" s="154">
        <v>0</v>
      </c>
      <c r="D71" s="168" t="s">
        <v>29</v>
      </c>
      <c r="E71" s="304">
        <v>0.05</v>
      </c>
      <c r="G71" s="405" t="s">
        <v>27</v>
      </c>
      <c r="H71" s="154">
        <v>0</v>
      </c>
      <c r="I71" s="168" t="s">
        <v>29</v>
      </c>
      <c r="J71" s="304">
        <v>0.05</v>
      </c>
      <c r="L71" s="406" t="s">
        <v>27</v>
      </c>
      <c r="M71" s="305">
        <v>0</v>
      </c>
      <c r="N71" s="168">
        <v>0</v>
      </c>
      <c r="O71" s="304">
        <v>0.05</v>
      </c>
    </row>
    <row r="72" spans="2:17" outlineLevel="1">
      <c r="B72" s="381" t="s">
        <v>30</v>
      </c>
      <c r="C72" s="166">
        <v>0</v>
      </c>
      <c r="D72" s="169" t="s">
        <v>29</v>
      </c>
      <c r="E72" s="306">
        <v>0.05</v>
      </c>
      <c r="G72" s="405" t="s">
        <v>30</v>
      </c>
      <c r="H72" s="166">
        <v>0</v>
      </c>
      <c r="I72" s="169" t="s">
        <v>29</v>
      </c>
      <c r="J72" s="306">
        <v>0.05</v>
      </c>
      <c r="L72" s="406" t="s">
        <v>30</v>
      </c>
      <c r="M72" s="307">
        <v>0</v>
      </c>
      <c r="N72" s="169">
        <v>0</v>
      </c>
      <c r="O72" s="306">
        <v>0.05</v>
      </c>
    </row>
    <row r="73" spans="2:17" collapsed="1">
      <c r="B73" s="383" t="s">
        <v>15</v>
      </c>
      <c r="C73" s="157">
        <v>0.05</v>
      </c>
      <c r="D73" s="308">
        <v>0.15</v>
      </c>
      <c r="E73" s="189">
        <v>0.2</v>
      </c>
      <c r="G73" s="361" t="s">
        <v>15</v>
      </c>
      <c r="H73" s="157">
        <v>0.15</v>
      </c>
      <c r="I73" s="308">
        <v>0.15</v>
      </c>
      <c r="J73" s="189">
        <v>0.25</v>
      </c>
      <c r="L73" s="383" t="s">
        <v>15</v>
      </c>
      <c r="M73" s="157">
        <v>0.2</v>
      </c>
      <c r="N73" s="308">
        <v>0.2</v>
      </c>
      <c r="O73" s="189">
        <v>0.3</v>
      </c>
      <c r="Q73" s="55"/>
    </row>
    <row r="74" spans="2:17" outlineLevel="1">
      <c r="B74" s="385" t="s">
        <v>27</v>
      </c>
      <c r="C74" s="175">
        <v>0</v>
      </c>
      <c r="D74" s="292">
        <v>0.05</v>
      </c>
      <c r="E74" s="309">
        <v>0.1</v>
      </c>
      <c r="G74" s="407" t="s">
        <v>27</v>
      </c>
      <c r="H74" s="175">
        <v>0</v>
      </c>
      <c r="I74" s="292">
        <v>2.5000000000000001E-2</v>
      </c>
      <c r="J74" s="309">
        <v>0.05</v>
      </c>
      <c r="L74" s="385" t="s">
        <v>27</v>
      </c>
      <c r="M74" s="175">
        <v>0</v>
      </c>
      <c r="N74" s="292">
        <v>0</v>
      </c>
      <c r="O74" s="309">
        <v>0</v>
      </c>
      <c r="Q74" s="55"/>
    </row>
    <row r="75" spans="2:17" outlineLevel="1">
      <c r="B75" s="385" t="s">
        <v>30</v>
      </c>
      <c r="C75" s="175">
        <v>0</v>
      </c>
      <c r="D75" s="292">
        <v>0.05</v>
      </c>
      <c r="E75" s="309">
        <v>0.1</v>
      </c>
      <c r="G75" s="407" t="s">
        <v>30</v>
      </c>
      <c r="H75" s="175">
        <v>0</v>
      </c>
      <c r="I75" s="292">
        <v>2.5000000000000001E-2</v>
      </c>
      <c r="J75" s="309">
        <v>0.05</v>
      </c>
      <c r="L75" s="385" t="s">
        <v>30</v>
      </c>
      <c r="M75" s="175">
        <v>0</v>
      </c>
      <c r="N75" s="292">
        <v>0</v>
      </c>
      <c r="O75" s="309">
        <v>0</v>
      </c>
      <c r="Q75" s="55"/>
    </row>
    <row r="76" spans="2:17" outlineLevel="1">
      <c r="B76" s="385" t="s">
        <v>32</v>
      </c>
      <c r="C76" s="175">
        <v>0</v>
      </c>
      <c r="D76" s="292">
        <v>0</v>
      </c>
      <c r="E76" s="309">
        <v>0</v>
      </c>
      <c r="G76" s="407" t="s">
        <v>32</v>
      </c>
      <c r="H76" s="175">
        <v>0.05</v>
      </c>
      <c r="I76" s="292">
        <v>0.1</v>
      </c>
      <c r="J76" s="309">
        <v>0.2</v>
      </c>
      <c r="L76" s="385" t="s">
        <v>32</v>
      </c>
      <c r="M76" s="175">
        <v>0.05</v>
      </c>
      <c r="N76" s="292">
        <v>0.2</v>
      </c>
      <c r="O76" s="309">
        <v>0.3</v>
      </c>
      <c r="Q76" s="55"/>
    </row>
    <row r="77" spans="2:17" outlineLevel="1">
      <c r="B77" s="385" t="s">
        <v>33</v>
      </c>
      <c r="C77" s="190">
        <v>0</v>
      </c>
      <c r="D77" s="293">
        <v>0.05</v>
      </c>
      <c r="E77" s="310">
        <v>0.1</v>
      </c>
      <c r="G77" s="407" t="s">
        <v>33</v>
      </c>
      <c r="H77" s="190">
        <v>0</v>
      </c>
      <c r="I77" s="293">
        <v>0</v>
      </c>
      <c r="J77" s="310">
        <v>0</v>
      </c>
      <c r="L77" s="385" t="s">
        <v>33</v>
      </c>
      <c r="M77" s="190">
        <v>0</v>
      </c>
      <c r="N77" s="293">
        <v>0</v>
      </c>
      <c r="O77" s="310">
        <v>0</v>
      </c>
      <c r="Q77" s="55"/>
    </row>
    <row r="78" spans="2:17" collapsed="1">
      <c r="B78" s="387" t="s">
        <v>16</v>
      </c>
      <c r="C78" s="160">
        <v>0.25</v>
      </c>
      <c r="D78" s="160">
        <v>0.25</v>
      </c>
      <c r="E78" s="162">
        <v>0.45</v>
      </c>
      <c r="G78" s="387" t="s">
        <v>16</v>
      </c>
      <c r="H78" s="224">
        <v>0.2</v>
      </c>
      <c r="I78" s="224">
        <v>0.2</v>
      </c>
      <c r="J78" s="162">
        <v>0.4</v>
      </c>
      <c r="L78" s="387" t="s">
        <v>16</v>
      </c>
      <c r="M78" s="160">
        <v>0.3</v>
      </c>
      <c r="N78" s="160">
        <v>0.3</v>
      </c>
      <c r="O78" s="162">
        <v>0.45</v>
      </c>
      <c r="Q78" s="55"/>
    </row>
    <row r="79" spans="2:17" outlineLevel="1">
      <c r="B79" s="388" t="s">
        <v>34</v>
      </c>
      <c r="C79" s="161">
        <v>0.25</v>
      </c>
      <c r="D79" s="311">
        <v>0.25</v>
      </c>
      <c r="E79" s="312">
        <v>0.45</v>
      </c>
      <c r="G79" s="388" t="s">
        <v>34</v>
      </c>
      <c r="H79" s="161">
        <v>0</v>
      </c>
      <c r="I79" s="311">
        <v>0.05</v>
      </c>
      <c r="J79" s="312">
        <v>0.15</v>
      </c>
      <c r="L79" s="389" t="s">
        <v>35</v>
      </c>
      <c r="M79" s="313">
        <v>0.05</v>
      </c>
      <c r="N79" s="311">
        <v>0.1</v>
      </c>
      <c r="O79" s="312">
        <v>0.15</v>
      </c>
      <c r="Q79" s="55"/>
    </row>
    <row r="80" spans="2:17" outlineLevel="1">
      <c r="B80" s="390" t="s">
        <v>36</v>
      </c>
      <c r="C80" s="160">
        <v>0</v>
      </c>
      <c r="D80" s="184">
        <v>0</v>
      </c>
      <c r="E80" s="314">
        <v>0</v>
      </c>
      <c r="G80" s="408" t="s">
        <v>36</v>
      </c>
      <c r="H80" s="160">
        <v>0.1</v>
      </c>
      <c r="I80" s="184">
        <v>0.15</v>
      </c>
      <c r="J80" s="314">
        <v>0.4</v>
      </c>
      <c r="L80" s="389" t="s">
        <v>36</v>
      </c>
      <c r="M80" s="315">
        <v>0.15</v>
      </c>
      <c r="N80" s="184">
        <v>0.2</v>
      </c>
      <c r="O80" s="314">
        <v>0.45</v>
      </c>
      <c r="Q80" s="55"/>
    </row>
    <row r="81" spans="2:15" collapsed="1">
      <c r="B81" s="392" t="s">
        <v>17</v>
      </c>
      <c r="C81" s="287">
        <v>0.25</v>
      </c>
      <c r="D81" s="288">
        <v>0.25</v>
      </c>
      <c r="E81" s="316">
        <v>0.45</v>
      </c>
      <c r="G81" s="363" t="s">
        <v>17</v>
      </c>
      <c r="H81" s="163">
        <v>0.25</v>
      </c>
      <c r="I81" s="288">
        <v>0.25</v>
      </c>
      <c r="J81" s="317">
        <v>0.45</v>
      </c>
      <c r="L81" s="409" t="s">
        <v>17</v>
      </c>
      <c r="M81" s="318">
        <v>0.2</v>
      </c>
      <c r="N81" s="288">
        <v>0.2</v>
      </c>
      <c r="O81" s="316">
        <v>0.45</v>
      </c>
    </row>
    <row r="82" spans="2:15" outlineLevel="1">
      <c r="B82" s="393" t="s">
        <v>37</v>
      </c>
      <c r="C82" s="289">
        <v>0.05</v>
      </c>
      <c r="D82" s="289">
        <v>0.1</v>
      </c>
      <c r="E82" s="290">
        <v>0.2</v>
      </c>
      <c r="G82" s="393" t="s">
        <v>37</v>
      </c>
      <c r="H82" s="163">
        <v>0.05</v>
      </c>
      <c r="I82" s="289">
        <v>0.1</v>
      </c>
      <c r="J82" s="164">
        <v>0.2</v>
      </c>
      <c r="L82" s="393" t="s">
        <v>37</v>
      </c>
      <c r="M82" s="289">
        <v>0.05</v>
      </c>
      <c r="N82" s="289">
        <v>0.1</v>
      </c>
      <c r="O82" s="290">
        <v>0.2</v>
      </c>
    </row>
    <row r="83" spans="2:15" outlineLevel="1">
      <c r="B83" s="393" t="s">
        <v>38</v>
      </c>
      <c r="C83" s="185">
        <v>0.05</v>
      </c>
      <c r="D83" s="185">
        <v>0.15</v>
      </c>
      <c r="E83" s="164">
        <v>0.4</v>
      </c>
      <c r="G83" s="393" t="s">
        <v>38</v>
      </c>
      <c r="H83" s="185">
        <v>0.05</v>
      </c>
      <c r="I83" s="185">
        <v>0.15</v>
      </c>
      <c r="J83" s="164">
        <v>0.4</v>
      </c>
      <c r="L83" s="393" t="s">
        <v>38</v>
      </c>
      <c r="M83" s="185">
        <v>0.05</v>
      </c>
      <c r="N83" s="185">
        <v>0.1</v>
      </c>
      <c r="O83" s="164">
        <v>0.4</v>
      </c>
    </row>
    <row r="84" spans="2:15" collapsed="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D16BD-2DC0-448E-990A-78631EB40411}">
  <sheetPr>
    <tabColor rgb="FFFFFF00"/>
  </sheetPr>
  <dimension ref="A1:N30"/>
  <sheetViews>
    <sheetView showGridLines="0" topLeftCell="A3" workbookViewId="0">
      <selection activeCell="H5" sqref="H5"/>
    </sheetView>
  </sheetViews>
  <sheetFormatPr defaultRowHeight="15.75"/>
  <cols>
    <col min="1" max="1" width="1.42578125" style="21" customWidth="1"/>
    <col min="2" max="2" width="22.85546875" style="21" customWidth="1"/>
    <col min="3" max="3" width="15.140625" style="27" customWidth="1"/>
    <col min="4" max="4" width="29.42578125" style="21" customWidth="1"/>
    <col min="5" max="5" width="29.28515625" style="21" customWidth="1"/>
    <col min="6" max="6" width="92.42578125" style="21" customWidth="1"/>
    <col min="7" max="7" width="33.140625" style="21" customWidth="1"/>
    <col min="8" max="8" width="36.28515625" style="21" customWidth="1"/>
    <col min="9" max="9" width="27.28515625" style="21" customWidth="1"/>
    <col min="10" max="10" width="35" style="21" customWidth="1"/>
    <col min="11" max="11" width="29" style="21" customWidth="1"/>
    <col min="12" max="12" width="30.85546875" style="21" customWidth="1"/>
    <col min="13" max="14" width="9.140625" style="21" bestFit="1" customWidth="1"/>
    <col min="15" max="16384" width="9.140625" style="21"/>
  </cols>
  <sheetData>
    <row r="1" spans="1:14" ht="15.75" customHeight="1">
      <c r="A1" s="19"/>
      <c r="B1" s="44" t="s">
        <v>46</v>
      </c>
      <c r="C1" s="44" t="s">
        <v>47</v>
      </c>
      <c r="D1" s="44" t="s">
        <v>48</v>
      </c>
      <c r="E1" s="20" t="s">
        <v>49</v>
      </c>
      <c r="F1" s="45" t="s">
        <v>50</v>
      </c>
      <c r="G1" s="421"/>
      <c r="H1" s="421"/>
      <c r="I1" s="421"/>
      <c r="J1" s="421"/>
      <c r="K1" s="421"/>
      <c r="L1" s="421"/>
      <c r="M1" s="19"/>
      <c r="N1" s="19"/>
    </row>
    <row r="2" spans="1:14" ht="32.25" customHeight="1">
      <c r="A2" s="19"/>
      <c r="B2" s="422" t="s">
        <v>51</v>
      </c>
      <c r="C2" s="424" t="s">
        <v>37</v>
      </c>
      <c r="D2" s="30" t="s">
        <v>52</v>
      </c>
      <c r="E2" s="191" t="s">
        <v>53</v>
      </c>
      <c r="F2" s="144" t="s">
        <v>54</v>
      </c>
      <c r="G2" s="22"/>
      <c r="H2" s="22"/>
      <c r="I2" s="22"/>
      <c r="J2" s="22"/>
      <c r="K2" s="22"/>
      <c r="M2" s="19"/>
      <c r="N2" s="19"/>
    </row>
    <row r="3" spans="1:14" ht="32.25" customHeight="1">
      <c r="A3" s="19"/>
      <c r="B3" s="422"/>
      <c r="C3" s="425"/>
      <c r="D3" s="32" t="s">
        <v>33</v>
      </c>
      <c r="E3" s="410" t="s">
        <v>55</v>
      </c>
      <c r="F3" s="411" t="s">
        <v>56</v>
      </c>
      <c r="G3" s="192"/>
      <c r="H3" s="22"/>
      <c r="I3" s="22"/>
      <c r="J3" s="22"/>
      <c r="K3" s="22"/>
      <c r="M3" s="19"/>
      <c r="N3" s="19"/>
    </row>
    <row r="4" spans="1:14" ht="32.25" customHeight="1">
      <c r="A4" s="19"/>
      <c r="B4" s="422"/>
      <c r="C4" s="425"/>
      <c r="D4" s="30" t="s">
        <v>57</v>
      </c>
      <c r="E4" s="48" t="s">
        <v>58</v>
      </c>
      <c r="F4" s="28" t="s">
        <v>59</v>
      </c>
      <c r="G4" s="22"/>
      <c r="H4" s="22"/>
      <c r="I4" s="22"/>
      <c r="J4" s="22"/>
      <c r="K4" s="22"/>
      <c r="M4" s="19"/>
      <c r="N4" s="19"/>
    </row>
    <row r="5" spans="1:14" ht="16.5" customHeight="1">
      <c r="A5" s="19"/>
      <c r="B5" s="422"/>
      <c r="C5" s="425"/>
      <c r="D5" s="47" t="s">
        <v>60</v>
      </c>
      <c r="E5" s="46" t="s">
        <v>61</v>
      </c>
      <c r="F5" s="23" t="s">
        <v>59</v>
      </c>
      <c r="G5" s="22"/>
      <c r="H5" s="22"/>
      <c r="I5" s="22"/>
      <c r="J5" s="22"/>
      <c r="K5" s="22"/>
      <c r="M5" s="19"/>
      <c r="N5" s="19"/>
    </row>
    <row r="6" spans="1:14" ht="15.75" customHeight="1">
      <c r="A6" s="19"/>
      <c r="B6" s="423"/>
      <c r="C6" s="426"/>
      <c r="D6" s="30" t="s">
        <v>62</v>
      </c>
      <c r="E6" s="29" t="s">
        <v>63</v>
      </c>
      <c r="F6" s="53" t="s">
        <v>64</v>
      </c>
      <c r="G6" s="22"/>
      <c r="H6" s="22"/>
      <c r="I6" s="22"/>
      <c r="J6" s="22"/>
      <c r="K6" s="22"/>
      <c r="M6" s="19"/>
      <c r="N6" s="19"/>
    </row>
    <row r="7" spans="1:14" ht="307.5" customHeight="1">
      <c r="A7" s="19"/>
      <c r="B7" s="34" t="s">
        <v>65</v>
      </c>
      <c r="C7" s="33" t="s">
        <v>66</v>
      </c>
      <c r="D7" s="31" t="s">
        <v>67</v>
      </c>
      <c r="E7" s="193" t="s">
        <v>68</v>
      </c>
      <c r="F7" s="143" t="s">
        <v>69</v>
      </c>
      <c r="G7" s="22"/>
      <c r="H7" s="22"/>
      <c r="I7" s="22"/>
      <c r="J7" s="22"/>
      <c r="K7" s="22"/>
      <c r="M7" s="19"/>
      <c r="N7" s="19"/>
    </row>
    <row r="8" spans="1:14" ht="146.25">
      <c r="A8" s="19"/>
      <c r="B8" s="50" t="s">
        <v>70</v>
      </c>
      <c r="C8" s="54" t="s">
        <v>66</v>
      </c>
      <c r="D8" s="41" t="s">
        <v>71</v>
      </c>
      <c r="E8" s="194" t="s">
        <v>72</v>
      </c>
      <c r="F8" s="195" t="s">
        <v>73</v>
      </c>
      <c r="G8" s="22"/>
      <c r="H8" s="22"/>
      <c r="I8" s="22"/>
      <c r="J8" s="22"/>
      <c r="K8" s="22"/>
      <c r="M8" s="19"/>
      <c r="N8" s="19"/>
    </row>
    <row r="9" spans="1:14" ht="15.75" customHeight="1">
      <c r="A9" s="19"/>
      <c r="B9" s="417" t="s">
        <v>74</v>
      </c>
      <c r="C9" s="419" t="s">
        <v>75</v>
      </c>
      <c r="D9" s="51" t="s">
        <v>37</v>
      </c>
      <c r="E9" s="52" t="s">
        <v>76</v>
      </c>
      <c r="F9" s="40" t="s">
        <v>77</v>
      </c>
      <c r="G9" s="22"/>
      <c r="H9" s="22"/>
      <c r="I9" s="22"/>
      <c r="J9" s="22"/>
      <c r="K9" s="22"/>
      <c r="M9" s="19"/>
      <c r="N9" s="19"/>
    </row>
    <row r="10" spans="1:14">
      <c r="A10" s="19"/>
      <c r="B10" s="417"/>
      <c r="C10" s="419"/>
      <c r="D10" s="38" t="s">
        <v>78</v>
      </c>
      <c r="E10" s="39" t="s">
        <v>79</v>
      </c>
      <c r="F10" s="40" t="s">
        <v>80</v>
      </c>
      <c r="G10" s="22"/>
      <c r="H10" s="22"/>
      <c r="I10" s="22"/>
      <c r="J10" s="22"/>
      <c r="K10" s="22"/>
      <c r="M10" s="19"/>
      <c r="N10" s="19"/>
    </row>
    <row r="11" spans="1:14" ht="15.75" customHeight="1">
      <c r="A11" s="19"/>
      <c r="B11" s="418"/>
      <c r="C11" s="420"/>
      <c r="D11" s="41" t="s">
        <v>81</v>
      </c>
      <c r="E11" s="39" t="s">
        <v>82</v>
      </c>
      <c r="F11" s="42" t="s">
        <v>59</v>
      </c>
      <c r="G11" s="22"/>
      <c r="H11" s="22"/>
      <c r="I11" s="22"/>
      <c r="J11" s="22"/>
      <c r="K11" s="22"/>
      <c r="M11" s="19"/>
      <c r="N11" s="19"/>
    </row>
    <row r="12" spans="1:14">
      <c r="A12" s="19"/>
      <c r="G12" s="22"/>
      <c r="H12" s="22"/>
      <c r="I12" s="22"/>
      <c r="J12" s="22"/>
      <c r="K12" s="22"/>
      <c r="M12" s="19"/>
      <c r="N12" s="19"/>
    </row>
    <row r="13" spans="1:14">
      <c r="A13" s="19"/>
      <c r="G13" s="22"/>
      <c r="H13" s="22"/>
      <c r="I13" s="22"/>
      <c r="J13" s="22"/>
      <c r="K13" s="22"/>
      <c r="M13" s="19"/>
      <c r="N13" s="19"/>
    </row>
    <row r="14" spans="1:14">
      <c r="A14" s="19"/>
      <c r="G14" s="22"/>
      <c r="H14" s="22"/>
      <c r="I14" s="22"/>
      <c r="J14" s="22"/>
      <c r="K14" s="22"/>
      <c r="M14" s="19"/>
      <c r="N14" s="19"/>
    </row>
    <row r="15" spans="1:14">
      <c r="A15" s="19"/>
      <c r="G15" s="24"/>
      <c r="H15" s="24"/>
      <c r="I15" s="24"/>
      <c r="J15" s="24"/>
      <c r="K15" s="24"/>
      <c r="L15" s="19"/>
      <c r="M15" s="19"/>
      <c r="N15" s="19"/>
    </row>
    <row r="16" spans="1:14">
      <c r="A16" s="19"/>
      <c r="G16" s="24"/>
      <c r="H16" s="24"/>
      <c r="I16" s="24"/>
      <c r="J16" s="24"/>
      <c r="K16" s="24"/>
      <c r="L16" s="19"/>
      <c r="M16" s="19"/>
      <c r="N16" s="19"/>
    </row>
    <row r="17" spans="1:14">
      <c r="A17" s="19"/>
      <c r="G17" s="17"/>
      <c r="H17" s="17"/>
      <c r="I17" s="17"/>
      <c r="J17" s="17"/>
      <c r="K17" s="17"/>
      <c r="M17" s="19"/>
      <c r="N17" s="19"/>
    </row>
    <row r="18" spans="1:14">
      <c r="A18" s="19"/>
      <c r="G18" s="17"/>
      <c r="H18" s="17"/>
      <c r="I18" s="17"/>
      <c r="J18" s="17"/>
      <c r="K18" s="17"/>
      <c r="M18" s="19"/>
      <c r="N18" s="19"/>
    </row>
    <row r="19" spans="1:14">
      <c r="A19" s="19"/>
      <c r="G19" s="17"/>
      <c r="H19" s="17"/>
      <c r="I19" s="17"/>
      <c r="J19" s="17"/>
      <c r="K19" s="17"/>
      <c r="M19" s="19"/>
      <c r="N19" s="19"/>
    </row>
    <row r="20" spans="1:14">
      <c r="A20" s="19"/>
      <c r="G20" s="22"/>
      <c r="H20" s="22"/>
      <c r="I20" s="22"/>
      <c r="J20" s="22"/>
      <c r="K20" s="22"/>
      <c r="M20" s="19"/>
      <c r="N20" s="19"/>
    </row>
    <row r="21" spans="1:14">
      <c r="A21" s="19"/>
      <c r="G21" s="22"/>
      <c r="H21" s="22"/>
      <c r="I21" s="22"/>
      <c r="J21" s="22"/>
      <c r="K21" s="22"/>
      <c r="M21" s="19"/>
      <c r="N21" s="19"/>
    </row>
    <row r="22" spans="1:14">
      <c r="A22" s="19"/>
      <c r="G22" s="22"/>
      <c r="H22" s="22"/>
      <c r="I22" s="22"/>
      <c r="J22" s="22"/>
      <c r="K22" s="22"/>
      <c r="M22" s="19"/>
      <c r="N22" s="19"/>
    </row>
    <row r="23" spans="1:14" ht="15.75" customHeight="1">
      <c r="A23" s="19"/>
      <c r="G23" s="17"/>
      <c r="H23" s="17"/>
      <c r="I23" s="17"/>
      <c r="J23" s="17"/>
      <c r="K23" s="17"/>
      <c r="M23" s="19"/>
      <c r="N23" s="19"/>
    </row>
    <row r="24" spans="1:14">
      <c r="A24" s="19"/>
      <c r="G24" s="24"/>
      <c r="H24" s="24"/>
      <c r="I24" s="25"/>
      <c r="J24" s="25"/>
      <c r="K24" s="25"/>
      <c r="L24" s="19"/>
      <c r="M24" s="19"/>
      <c r="N24" s="19"/>
    </row>
    <row r="25" spans="1:14">
      <c r="A25" s="19"/>
      <c r="G25" s="24"/>
      <c r="H25" s="24"/>
      <c r="I25" s="25"/>
      <c r="J25" s="25"/>
      <c r="K25" s="25"/>
      <c r="L25" s="19"/>
      <c r="M25" s="19"/>
      <c r="N25" s="19"/>
    </row>
    <row r="26" spans="1:14">
      <c r="A26" s="19"/>
      <c r="G26" s="26"/>
      <c r="M26" s="19"/>
      <c r="N26" s="19"/>
    </row>
    <row r="27" spans="1:14" ht="15" customHeight="1">
      <c r="A27" s="19"/>
      <c r="M27" s="19"/>
      <c r="N27" s="19"/>
    </row>
    <row r="28" spans="1:14">
      <c r="A28" s="19"/>
      <c r="G28" s="19"/>
      <c r="H28" s="19"/>
      <c r="I28" s="19"/>
      <c r="J28" s="19"/>
      <c r="K28" s="19"/>
      <c r="L28" s="19"/>
      <c r="M28" s="19"/>
      <c r="N28" s="19"/>
    </row>
    <row r="29" spans="1:14">
      <c r="A29" s="19"/>
      <c r="G29" s="19"/>
      <c r="H29" s="19"/>
      <c r="I29" s="19"/>
      <c r="J29" s="19"/>
      <c r="K29" s="19"/>
      <c r="L29" s="19"/>
      <c r="M29" s="19"/>
      <c r="N29" s="19"/>
    </row>
    <row r="30" spans="1:14">
      <c r="A30" s="19"/>
      <c r="G30" s="19"/>
      <c r="H30" s="19"/>
      <c r="I30" s="19"/>
      <c r="J30" s="19"/>
      <c r="K30" s="19"/>
      <c r="L30" s="19"/>
      <c r="M30" s="19"/>
      <c r="N30" s="19"/>
    </row>
  </sheetData>
  <mergeCells count="7">
    <mergeCell ref="B9:B11"/>
    <mergeCell ref="C9:C11"/>
    <mergeCell ref="G1:H1"/>
    <mergeCell ref="I1:J1"/>
    <mergeCell ref="K1:L1"/>
    <mergeCell ref="B2:B6"/>
    <mergeCell ref="C2:C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3974F-BEA4-497D-954B-2D895A680DEE}">
  <sheetPr>
    <tabColor rgb="FFF4B084"/>
  </sheetPr>
  <dimension ref="A1:N39"/>
  <sheetViews>
    <sheetView workbookViewId="0">
      <selection activeCell="H9" sqref="H9"/>
    </sheetView>
  </sheetViews>
  <sheetFormatPr defaultRowHeight="15" customHeight="1"/>
  <cols>
    <col min="1" max="1" width="5.28515625" customWidth="1"/>
    <col min="2" max="2" width="12" customWidth="1"/>
    <col min="3" max="3" width="74.28515625" customWidth="1"/>
    <col min="4" max="4" width="6.5703125" customWidth="1"/>
    <col min="5" max="5" width="22.42578125" customWidth="1"/>
    <col min="6" max="6" width="4.7109375" customWidth="1"/>
    <col min="7" max="7" width="21.7109375" customWidth="1"/>
    <col min="8" max="8" width="6.85546875" style="58" customWidth="1"/>
    <col min="9" max="9" width="46.28515625" customWidth="1"/>
    <col min="10" max="10" width="5.85546875" customWidth="1"/>
    <col min="11" max="11" width="48.28515625" customWidth="1"/>
    <col min="12" max="12" width="16.85546875" bestFit="1" customWidth="1"/>
    <col min="13" max="13" width="23.5703125" bestFit="1" customWidth="1"/>
  </cols>
  <sheetData>
    <row r="1" spans="1:14"/>
    <row r="2" spans="1:14" ht="15" customHeight="1">
      <c r="B2" s="49" t="s">
        <v>83</v>
      </c>
      <c r="C2" s="49" t="s">
        <v>84</v>
      </c>
      <c r="E2" s="431" t="s">
        <v>85</v>
      </c>
      <c r="G2" s="436" t="s">
        <v>86</v>
      </c>
      <c r="I2" s="49" t="s">
        <v>87</v>
      </c>
      <c r="K2" s="438" t="s">
        <v>88</v>
      </c>
      <c r="L2" s="440" t="s">
        <v>89</v>
      </c>
      <c r="M2" s="428" t="s">
        <v>90</v>
      </c>
    </row>
    <row r="3" spans="1:14">
      <c r="B3" s="57"/>
      <c r="C3" s="57"/>
      <c r="E3" s="432"/>
      <c r="G3" s="437"/>
      <c r="I3" s="198"/>
      <c r="K3" s="439"/>
      <c r="L3" s="441"/>
      <c r="M3" s="429"/>
    </row>
    <row r="4" spans="1:14" ht="18.75">
      <c r="B4" s="434" t="s">
        <v>91</v>
      </c>
      <c r="C4" t="e" vm="2">
        <v>#VALUE!</v>
      </c>
      <c r="E4" s="201" t="s">
        <v>92</v>
      </c>
      <c r="G4" s="201" t="s">
        <v>93</v>
      </c>
      <c r="I4" s="202" t="e" vm="3">
        <v>#VALUE!</v>
      </c>
      <c r="J4" s="56"/>
      <c r="K4" s="207" t="e" vm="4">
        <v>#VALUE!</v>
      </c>
      <c r="L4" t="s">
        <v>94</v>
      </c>
      <c r="M4" s="325"/>
    </row>
    <row r="5" spans="1:14" ht="18.75">
      <c r="B5" s="435"/>
      <c r="C5" t="e" vm="5">
        <v>#VALUE!</v>
      </c>
      <c r="E5" s="201" t="s">
        <v>95</v>
      </c>
      <c r="G5" s="205" t="s">
        <v>96</v>
      </c>
      <c r="I5" s="206" t="e" vm="6">
        <v>#VALUE!</v>
      </c>
      <c r="J5" s="56"/>
      <c r="K5" s="207" t="e" vm="7">
        <v>#VALUE!</v>
      </c>
      <c r="L5" t="s">
        <v>97</v>
      </c>
      <c r="M5" s="325"/>
    </row>
    <row r="6" spans="1:14" ht="18.75">
      <c r="B6" s="435"/>
      <c r="C6" t="e" vm="8">
        <v>#VALUE!</v>
      </c>
      <c r="E6" s="201" t="s">
        <v>98</v>
      </c>
      <c r="G6" s="209" t="s">
        <v>92</v>
      </c>
      <c r="I6" s="210" t="e" vm="9">
        <v>#VALUE!</v>
      </c>
      <c r="J6" s="56"/>
      <c r="K6" s="207" t="e" vm="10">
        <v>#VALUE!</v>
      </c>
      <c r="L6" t="s">
        <v>99</v>
      </c>
      <c r="M6" s="325"/>
    </row>
    <row r="7" spans="1:14" ht="18.75">
      <c r="B7" s="435"/>
      <c r="C7" t="e" vm="11">
        <v>#VALUE!</v>
      </c>
      <c r="E7" s="201" t="s">
        <v>100</v>
      </c>
      <c r="G7" s="201" t="s">
        <v>100</v>
      </c>
      <c r="H7" s="211"/>
      <c r="J7" s="56"/>
      <c r="K7" s="207" t="e" vm="12">
        <v>#VALUE!</v>
      </c>
      <c r="L7" t="s">
        <v>101</v>
      </c>
      <c r="M7" s="325" t="s">
        <v>102</v>
      </c>
    </row>
    <row r="8" spans="1:14" ht="18.75">
      <c r="B8" s="435"/>
      <c r="C8" t="s">
        <v>103</v>
      </c>
      <c r="E8" s="201" t="s">
        <v>104</v>
      </c>
      <c r="G8" s="201" t="s">
        <v>105</v>
      </c>
      <c r="H8" s="211"/>
      <c r="J8" s="56"/>
      <c r="K8" s="207" t="e" vm="13">
        <v>#VALUE!</v>
      </c>
      <c r="L8" t="s">
        <v>106</v>
      </c>
      <c r="M8" s="325"/>
    </row>
    <row r="9" spans="1:14" ht="18.75">
      <c r="B9" s="435"/>
      <c r="C9" t="e" vm="14">
        <v>#VALUE!</v>
      </c>
      <c r="E9" s="205" t="s">
        <v>107</v>
      </c>
      <c r="G9" s="201" t="s">
        <v>108</v>
      </c>
      <c r="H9" s="211"/>
      <c r="J9" s="56"/>
      <c r="K9" s="207" t="e" vm="15">
        <v>#VALUE!</v>
      </c>
      <c r="L9" t="s">
        <v>109</v>
      </c>
      <c r="M9" s="325"/>
    </row>
    <row r="10" spans="1:14" ht="18.75">
      <c r="B10" s="435"/>
      <c r="C10" t="s">
        <v>110</v>
      </c>
      <c r="E10" s="201" t="s">
        <v>111</v>
      </c>
      <c r="G10" s="201" t="s">
        <v>111</v>
      </c>
      <c r="H10" s="211" t="s">
        <v>14</v>
      </c>
      <c r="J10" s="55"/>
      <c r="K10" s="207" t="e" vm="16">
        <v>#VALUE!</v>
      </c>
      <c r="L10" t="s">
        <v>112</v>
      </c>
      <c r="M10" s="325" t="s">
        <v>113</v>
      </c>
    </row>
    <row r="11" spans="1:14" ht="18.75">
      <c r="B11" s="435"/>
      <c r="C11" t="e" vm="17">
        <v>#VALUE!</v>
      </c>
      <c r="E11" s="201" t="s">
        <v>105</v>
      </c>
      <c r="G11" s="201" t="s">
        <v>114</v>
      </c>
      <c r="H11" s="211"/>
      <c r="J11" s="56"/>
      <c r="K11" s="207" t="e" vm="18">
        <v>#VALUE!</v>
      </c>
      <c r="L11" t="s">
        <v>115</v>
      </c>
      <c r="M11" s="325"/>
    </row>
    <row r="12" spans="1:14" ht="18.75">
      <c r="B12" s="435"/>
      <c r="C12" t="e" vm="19">
        <v>#VALUE!</v>
      </c>
      <c r="E12" s="201" t="s">
        <v>116</v>
      </c>
      <c r="G12" s="201" t="s">
        <v>116</v>
      </c>
      <c r="H12" s="211"/>
      <c r="J12" s="56"/>
      <c r="K12" s="207" t="e" vm="20">
        <v>#VALUE!</v>
      </c>
      <c r="L12" t="s">
        <v>112</v>
      </c>
      <c r="M12" s="325"/>
    </row>
    <row r="13" spans="1:14" ht="18.75">
      <c r="B13" s="435"/>
      <c r="C13" t="e" vm="21">
        <v>#VALUE!</v>
      </c>
      <c r="E13" s="201" t="s">
        <v>117</v>
      </c>
      <c r="G13" s="201" t="s">
        <v>118</v>
      </c>
      <c r="J13" s="212"/>
      <c r="K13" s="207" t="e" vm="22">
        <v>#VALUE!</v>
      </c>
      <c r="L13" t="s">
        <v>119</v>
      </c>
      <c r="M13" s="325"/>
      <c r="N13" t="s">
        <v>14</v>
      </c>
    </row>
    <row r="14" spans="1:14" ht="18.75">
      <c r="B14" s="430" t="s">
        <v>120</v>
      </c>
      <c r="C14" t="e" vm="23">
        <v>#VALUE!</v>
      </c>
      <c r="G14" s="201"/>
      <c r="H14" s="211"/>
      <c r="J14" s="213"/>
      <c r="K14" s="207" t="e" vm="24">
        <v>#VALUE!</v>
      </c>
      <c r="L14" t="s">
        <v>121</v>
      </c>
      <c r="M14" s="325"/>
    </row>
    <row r="15" spans="1:14">
      <c r="B15" s="430"/>
      <c r="C15" t="e" vm="25">
        <v>#VALUE!</v>
      </c>
      <c r="E15" s="431" t="s">
        <v>122</v>
      </c>
      <c r="G15" s="431" t="s">
        <v>123</v>
      </c>
      <c r="H15" s="214"/>
      <c r="J15" s="213"/>
      <c r="K15" s="207" t="e" vm="26">
        <v>#VALUE!</v>
      </c>
      <c r="L15" t="s">
        <v>124</v>
      </c>
      <c r="M15" s="325"/>
    </row>
    <row r="16" spans="1:14" ht="18.75">
      <c r="A16" s="43"/>
      <c r="B16" s="430"/>
      <c r="C16" t="e" vm="27">
        <v>#VALUE!</v>
      </c>
      <c r="E16" s="432"/>
      <c r="G16" s="432"/>
      <c r="I16" s="201"/>
      <c r="J16" s="213"/>
      <c r="K16" s="326" t="e" vm="28">
        <v>#VALUE!</v>
      </c>
      <c r="L16" s="43" t="s">
        <v>125</v>
      </c>
      <c r="M16" s="327"/>
    </row>
    <row r="17" spans="1:13" ht="18.75">
      <c r="B17" s="430"/>
      <c r="C17" t="e" vm="29">
        <v>#VALUE!</v>
      </c>
      <c r="E17" s="201" t="s">
        <v>126</v>
      </c>
      <c r="G17" s="201" t="s">
        <v>127</v>
      </c>
      <c r="H17" s="59"/>
      <c r="K17" s="215" t="e" vm="30">
        <v>#VALUE!</v>
      </c>
      <c r="L17" s="255" t="s">
        <v>91</v>
      </c>
      <c r="M17" s="328"/>
    </row>
    <row r="18" spans="1:13" ht="18.75">
      <c r="B18" s="430"/>
      <c r="C18" t="e" vm="31">
        <v>#VALUE!</v>
      </c>
      <c r="E18" s="201" t="s">
        <v>128</v>
      </c>
      <c r="G18" s="201" t="s">
        <v>128</v>
      </c>
    </row>
    <row r="19" spans="1:13" ht="18.75">
      <c r="B19" s="430"/>
      <c r="C19" t="e" vm="32">
        <v>#VALUE!</v>
      </c>
      <c r="E19" s="201" t="s">
        <v>114</v>
      </c>
      <c r="G19" s="205" t="s">
        <v>129</v>
      </c>
      <c r="I19" s="145" t="s">
        <v>130</v>
      </c>
      <c r="J19" s="213"/>
      <c r="K19" s="196" t="s">
        <v>131</v>
      </c>
      <c r="L19" s="197" t="s">
        <v>89</v>
      </c>
    </row>
    <row r="20" spans="1:13" ht="18.75">
      <c r="A20" s="43"/>
      <c r="B20" s="430"/>
      <c r="C20" s="43" t="e" vm="33">
        <v>#VALUE!</v>
      </c>
      <c r="E20" s="201" t="s">
        <v>127</v>
      </c>
      <c r="I20" s="217"/>
      <c r="J20" s="213"/>
      <c r="K20" s="199"/>
      <c r="L20" s="200"/>
    </row>
    <row r="21" spans="1:13" ht="18.75">
      <c r="B21" s="433" t="s">
        <v>132</v>
      </c>
      <c r="C21" s="43" t="e" vm="34">
        <v>#VALUE!</v>
      </c>
      <c r="E21" s="201" t="s">
        <v>93</v>
      </c>
      <c r="H21" s="59"/>
      <c r="I21" s="218" t="e" vm="35">
        <v>#VALUE!</v>
      </c>
      <c r="J21" s="213"/>
      <c r="K21" s="203" t="e" vm="36">
        <v>#VALUE!</v>
      </c>
      <c r="L21" s="204" t="s">
        <v>94</v>
      </c>
    </row>
    <row r="22" spans="1:13" ht="18.75">
      <c r="B22" s="433"/>
      <c r="C22" s="43" t="e" vm="37">
        <v>#VALUE!</v>
      </c>
      <c r="D22" s="43"/>
      <c r="E22" s="201" t="s">
        <v>133</v>
      </c>
      <c r="G22" s="201"/>
      <c r="H22" s="59"/>
      <c r="I22" s="219" t="e" vm="38">
        <v>#VALUE!</v>
      </c>
      <c r="J22" s="213"/>
      <c r="K22" s="220" t="e" vm="39">
        <v>#VALUE!</v>
      </c>
      <c r="L22" s="208" t="s">
        <v>97</v>
      </c>
    </row>
    <row r="23" spans="1:13" ht="18.75">
      <c r="B23" s="427" t="s">
        <v>134</v>
      </c>
      <c r="C23" t="e" vm="40">
        <v>#VALUE!</v>
      </c>
      <c r="D23" s="43"/>
      <c r="E23" s="201" t="s">
        <v>96</v>
      </c>
      <c r="J23" s="213"/>
      <c r="K23" s="207" t="e" vm="41">
        <v>#VALUE!</v>
      </c>
      <c r="L23" s="208" t="s">
        <v>91</v>
      </c>
    </row>
    <row r="24" spans="1:13">
      <c r="B24" s="427"/>
      <c r="C24" t="e" vm="42">
        <v>#VALUE!</v>
      </c>
      <c r="D24" s="43"/>
      <c r="K24" s="221" t="e" vm="43">
        <v>#VALUE!</v>
      </c>
      <c r="L24" s="208" t="s">
        <v>112</v>
      </c>
    </row>
    <row r="25" spans="1:13" ht="15" customHeight="1">
      <c r="B25" s="427"/>
      <c r="C25" t="s">
        <v>135</v>
      </c>
      <c r="D25" s="43"/>
      <c r="H25" s="59"/>
      <c r="K25" s="220" t="e" vm="44">
        <v>#VALUE!</v>
      </c>
      <c r="L25" s="208" t="s">
        <v>109</v>
      </c>
    </row>
    <row r="26" spans="1:13" ht="15" customHeight="1">
      <c r="B26" s="427"/>
      <c r="C26" t="e" vm="45">
        <v>#VALUE!</v>
      </c>
      <c r="D26" s="222"/>
      <c r="H26" s="59"/>
      <c r="K26" s="220" t="e" vm="46">
        <v>#VALUE!</v>
      </c>
      <c r="L26" s="208" t="s">
        <v>136</v>
      </c>
    </row>
    <row r="27" spans="1:13" ht="15" customHeight="1">
      <c r="B27" s="427"/>
      <c r="C27" t="s">
        <v>137</v>
      </c>
      <c r="H27" s="59"/>
      <c r="K27" s="220" t="e" vm="47">
        <v>#VALUE!</v>
      </c>
      <c r="L27" s="208" t="s">
        <v>136</v>
      </c>
    </row>
    <row r="28" spans="1:13" ht="15" customHeight="1">
      <c r="B28" s="427"/>
      <c r="C28" t="s">
        <v>138</v>
      </c>
      <c r="D28" s="43"/>
      <c r="H28" s="59"/>
      <c r="K28" s="207" t="e" vm="48">
        <v>#VALUE!</v>
      </c>
      <c r="L28" s="208" t="s">
        <v>139</v>
      </c>
    </row>
    <row r="29" spans="1:13" ht="15" customHeight="1">
      <c r="B29" s="427"/>
      <c r="C29" s="43" t="s">
        <v>140</v>
      </c>
      <c r="K29" s="207" t="e" vm="49">
        <v>#VALUE!</v>
      </c>
      <c r="L29" s="208" t="s">
        <v>141</v>
      </c>
    </row>
    <row r="30" spans="1:13" ht="18.75" customHeight="1">
      <c r="B30" s="223"/>
      <c r="I30" s="201"/>
      <c r="K30" s="215" t="e" vm="50">
        <v>#VALUE!</v>
      </c>
      <c r="L30" s="216" t="s">
        <v>142</v>
      </c>
    </row>
    <row r="31" spans="1:13" ht="18.75" customHeight="1">
      <c r="I31" s="201"/>
    </row>
    <row r="32" spans="1:13" ht="15" customHeight="1">
      <c r="H32" s="59"/>
    </row>
    <row r="33" spans="7:9" ht="18.75" customHeight="1">
      <c r="G33" s="59"/>
      <c r="H33" s="201"/>
    </row>
    <row r="34" spans="7:9" ht="18.75" customHeight="1">
      <c r="G34" s="59"/>
      <c r="H34" s="201"/>
    </row>
    <row r="35" spans="7:9" ht="18.75" customHeight="1">
      <c r="G35" s="59"/>
      <c r="H35" s="201"/>
      <c r="I35" s="201"/>
    </row>
    <row r="36" spans="7:9" ht="18.75" customHeight="1">
      <c r="H36" s="59"/>
      <c r="I36" s="201"/>
    </row>
    <row r="37" spans="7:9" ht="15" customHeight="1">
      <c r="H37" s="59"/>
    </row>
    <row r="38" spans="7:9" ht="15" customHeight="1">
      <c r="H38" s="60"/>
    </row>
    <row r="39" spans="7:9" ht="15" customHeight="1">
      <c r="H39" s="59"/>
    </row>
  </sheetData>
  <mergeCells count="11">
    <mergeCell ref="B23:B29"/>
    <mergeCell ref="M2:M3"/>
    <mergeCell ref="B14:B20"/>
    <mergeCell ref="E15:E16"/>
    <mergeCell ref="G15:G16"/>
    <mergeCell ref="B21:B22"/>
    <mergeCell ref="B4:B13"/>
    <mergeCell ref="E2:E3"/>
    <mergeCell ref="G2:G3"/>
    <mergeCell ref="K2:K3"/>
    <mergeCell ref="L2:L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8CDC6-B2B2-4B05-A886-7EA24C6DB2AD}">
  <sheetPr>
    <tabColor rgb="FF00B0F0"/>
  </sheetPr>
  <dimension ref="B1:G17"/>
  <sheetViews>
    <sheetView showGridLines="0" workbookViewId="0">
      <selection activeCell="B23" sqref="B23"/>
    </sheetView>
  </sheetViews>
  <sheetFormatPr defaultRowHeight="15" customHeight="1"/>
  <cols>
    <col min="1" max="1" width="5.42578125" customWidth="1"/>
    <col min="2" max="2" width="61.5703125" bestFit="1" customWidth="1"/>
    <col min="3" max="3" width="6.85546875" customWidth="1"/>
    <col min="4" max="4" width="58" bestFit="1" customWidth="1"/>
    <col min="5" max="5" width="6.28515625" customWidth="1"/>
    <col min="6" max="6" width="32" customWidth="1"/>
    <col min="7" max="7" width="20" bestFit="1" customWidth="1"/>
  </cols>
  <sheetData>
    <row r="1" spans="2:7"/>
    <row r="2" spans="2:7">
      <c r="B2" s="49" t="s">
        <v>143</v>
      </c>
      <c r="D2" s="49" t="s">
        <v>144</v>
      </c>
      <c r="F2" s="49" t="s">
        <v>145</v>
      </c>
      <c r="G2" s="49" t="s">
        <v>146</v>
      </c>
    </row>
    <row r="3" spans="2:7">
      <c r="B3" s="57"/>
      <c r="D3" s="57"/>
      <c r="F3" s="57"/>
      <c r="G3" s="57"/>
    </row>
    <row r="4" spans="2:7">
      <c r="B4" t="e" vm="51">
        <v>#VALUE!</v>
      </c>
      <c r="D4" t="e" vm="52">
        <v>#VALUE!</v>
      </c>
      <c r="F4" t="s">
        <v>147</v>
      </c>
      <c r="G4" t="s">
        <v>148</v>
      </c>
    </row>
    <row r="5" spans="2:7">
      <c r="B5" t="e" vm="53">
        <v>#VALUE!</v>
      </c>
      <c r="D5" t="e" vm="54">
        <v>#VALUE!</v>
      </c>
      <c r="F5" t="s">
        <v>149</v>
      </c>
      <c r="G5" t="s">
        <v>150</v>
      </c>
    </row>
    <row r="6" spans="2:7">
      <c r="B6" t="e" vm="55">
        <v>#VALUE!</v>
      </c>
      <c r="D6" t="e" vm="56">
        <v>#VALUE!</v>
      </c>
      <c r="F6" t="s">
        <v>151</v>
      </c>
      <c r="G6" t="s">
        <v>152</v>
      </c>
    </row>
    <row r="7" spans="2:7">
      <c r="B7" t="e" vm="57">
        <v>#VALUE!</v>
      </c>
      <c r="F7" t="s">
        <v>153</v>
      </c>
      <c r="G7" t="s">
        <v>154</v>
      </c>
    </row>
    <row r="8" spans="2:7">
      <c r="B8" t="e" vm="58">
        <v>#VALUE!</v>
      </c>
      <c r="F8" s="43" t="s">
        <v>155</v>
      </c>
      <c r="G8" t="s">
        <v>156</v>
      </c>
    </row>
    <row r="9" spans="2:7">
      <c r="B9" t="e" vm="59">
        <v>#VALUE!</v>
      </c>
      <c r="D9" s="49" t="s">
        <v>157</v>
      </c>
      <c r="F9" t="s">
        <v>158</v>
      </c>
      <c r="G9" t="s">
        <v>159</v>
      </c>
    </row>
    <row r="10" spans="2:7">
      <c r="B10" t="e" vm="60">
        <v>#VALUE!</v>
      </c>
      <c r="D10" s="57"/>
      <c r="F10" t="s">
        <v>160</v>
      </c>
      <c r="G10" t="s">
        <v>161</v>
      </c>
    </row>
    <row r="11" spans="2:7" ht="15" customHeight="1">
      <c r="B11" s="43" t="e" vm="61">
        <v>#VALUE!</v>
      </c>
      <c r="D11" t="e" vm="62">
        <v>#VALUE!</v>
      </c>
      <c r="F11" t="s">
        <v>162</v>
      </c>
      <c r="G11" t="s">
        <v>163</v>
      </c>
    </row>
    <row r="12" spans="2:7" ht="15" customHeight="1">
      <c r="B12" t="e" vm="63">
        <v>#VALUE!</v>
      </c>
      <c r="D12" t="e" vm="64">
        <v>#VALUE!</v>
      </c>
    </row>
    <row r="13" spans="2:7" ht="15" customHeight="1">
      <c r="D13" t="e" vm="65">
        <v>#VALUE!</v>
      </c>
    </row>
    <row r="14" spans="2:7" ht="15" customHeight="1">
      <c r="D14" t="e" vm="66">
        <v>#VALUE!</v>
      </c>
    </row>
    <row r="15" spans="2:7" ht="15" customHeight="1">
      <c r="D15" t="e" vm="67">
        <v>#VALUE!</v>
      </c>
    </row>
    <row r="16" spans="2:7" ht="15" customHeight="1">
      <c r="D16" t="e" vm="68">
        <v>#VALUE!</v>
      </c>
    </row>
    <row r="17" spans="4:4" ht="15" customHeight="1">
      <c r="D17" t="e" vm="69">
        <v>#VALUE!</v>
      </c>
    </row>
  </sheetData>
  <autoFilter ref="F3:G11" xr:uid="{38A8CDC6-B2B2-4B05-A886-7EA24C6DB2AD}">
    <sortState xmlns:xlrd2="http://schemas.microsoft.com/office/spreadsheetml/2017/richdata2" ref="F4:G11">
      <sortCondition ref="F3:F1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0F187-3E21-4158-A3D4-FAB67D29FB30}">
  <sheetPr>
    <tabColor rgb="FF7030A0"/>
  </sheetPr>
  <dimension ref="B1:H83"/>
  <sheetViews>
    <sheetView workbookViewId="0">
      <selection activeCell="C24" sqref="C24"/>
    </sheetView>
  </sheetViews>
  <sheetFormatPr defaultRowHeight="15"/>
  <cols>
    <col min="1" max="1" width="5.7109375" customWidth="1"/>
    <col min="2" max="2" width="27.140625" customWidth="1"/>
    <col min="3" max="3" width="22.7109375" customWidth="1"/>
    <col min="4" max="4" width="27" customWidth="1"/>
    <col min="5" max="6" width="22.7109375" customWidth="1"/>
    <col min="7" max="7" width="16.5703125" customWidth="1"/>
    <col min="8" max="8" width="13.28515625" style="8" customWidth="1"/>
  </cols>
  <sheetData>
    <row r="1" spans="2:8">
      <c r="E1" s="8"/>
      <c r="F1" s="8"/>
    </row>
    <row r="2" spans="2:8">
      <c r="B2" s="442" t="s">
        <v>164</v>
      </c>
      <c r="C2" s="444" t="s">
        <v>165</v>
      </c>
      <c r="D2" s="445"/>
      <c r="E2" s="446" t="s">
        <v>166</v>
      </c>
      <c r="F2" s="447"/>
      <c r="G2" s="448" t="s">
        <v>167</v>
      </c>
      <c r="H2" s="448" t="s">
        <v>168</v>
      </c>
    </row>
    <row r="3" spans="2:8">
      <c r="B3" s="443"/>
      <c r="C3" s="226" t="s">
        <v>169</v>
      </c>
      <c r="D3" s="10" t="s">
        <v>170</v>
      </c>
      <c r="E3" s="10" t="s">
        <v>171</v>
      </c>
      <c r="F3" s="10" t="s">
        <v>172</v>
      </c>
      <c r="G3" s="449"/>
      <c r="H3" s="449"/>
    </row>
    <row r="4" spans="2:8" ht="15.75">
      <c r="B4" s="11" t="s">
        <v>156</v>
      </c>
      <c r="C4" s="12" t="s">
        <v>173</v>
      </c>
      <c r="D4" s="12" t="s">
        <v>174</v>
      </c>
      <c r="E4" s="323" t="s">
        <v>175</v>
      </c>
      <c r="F4" s="323" t="s">
        <v>175</v>
      </c>
      <c r="G4" s="323" t="s">
        <v>176</v>
      </c>
      <c r="H4" s="8" t="s">
        <v>177</v>
      </c>
    </row>
    <row r="5" spans="2:8" ht="15.75">
      <c r="B5" s="11" t="s">
        <v>156</v>
      </c>
      <c r="C5" s="12" t="s">
        <v>178</v>
      </c>
      <c r="D5" s="12" t="s">
        <v>179</v>
      </c>
      <c r="E5" s="323" t="s">
        <v>175</v>
      </c>
      <c r="F5" s="323" t="s">
        <v>175</v>
      </c>
      <c r="G5" s="323" t="s">
        <v>176</v>
      </c>
      <c r="H5" s="8" t="s">
        <v>177</v>
      </c>
    </row>
    <row r="6" spans="2:8" ht="15.75">
      <c r="B6" s="11" t="s">
        <v>156</v>
      </c>
      <c r="C6" s="12" t="s">
        <v>180</v>
      </c>
      <c r="D6" s="12" t="s">
        <v>181</v>
      </c>
      <c r="E6" s="323" t="s">
        <v>175</v>
      </c>
      <c r="F6" s="323" t="s">
        <v>175</v>
      </c>
      <c r="G6" s="324" t="s">
        <v>176</v>
      </c>
      <c r="H6" s="8" t="s">
        <v>177</v>
      </c>
    </row>
    <row r="7" spans="2:8" ht="15.75">
      <c r="B7" s="11" t="s">
        <v>156</v>
      </c>
      <c r="C7" s="11" t="s">
        <v>182</v>
      </c>
      <c r="D7" s="12" t="s">
        <v>183</v>
      </c>
      <c r="E7" s="323" t="s">
        <v>175</v>
      </c>
      <c r="F7" s="323" t="s">
        <v>175</v>
      </c>
      <c r="G7" s="323" t="s">
        <v>175</v>
      </c>
      <c r="H7" s="8" t="s">
        <v>184</v>
      </c>
    </row>
    <row r="8" spans="2:8" ht="15.75">
      <c r="B8" s="11" t="s">
        <v>185</v>
      </c>
      <c r="C8" s="11" t="s">
        <v>186</v>
      </c>
      <c r="D8" s="12" t="s">
        <v>187</v>
      </c>
      <c r="E8" s="323" t="s">
        <v>175</v>
      </c>
      <c r="F8" s="323" t="s">
        <v>175</v>
      </c>
      <c r="G8" s="323" t="s">
        <v>176</v>
      </c>
      <c r="H8" s="8" t="s">
        <v>177</v>
      </c>
    </row>
    <row r="9" spans="2:8" ht="15.75">
      <c r="B9" s="11" t="s">
        <v>156</v>
      </c>
      <c r="C9" s="12" t="s">
        <v>188</v>
      </c>
      <c r="D9" s="12" t="s">
        <v>189</v>
      </c>
      <c r="E9" s="323" t="s">
        <v>175</v>
      </c>
      <c r="F9" s="323" t="s">
        <v>175</v>
      </c>
      <c r="G9" s="323" t="s">
        <v>176</v>
      </c>
      <c r="H9" s="8" t="s">
        <v>190</v>
      </c>
    </row>
    <row r="10" spans="2:8" ht="15.75">
      <c r="B10" s="11" t="s">
        <v>156</v>
      </c>
      <c r="C10" s="12" t="s">
        <v>191</v>
      </c>
      <c r="D10" s="12" t="s">
        <v>192</v>
      </c>
      <c r="E10" s="323" t="s">
        <v>175</v>
      </c>
      <c r="F10" s="323" t="s">
        <v>175</v>
      </c>
      <c r="G10" s="323" t="s">
        <v>176</v>
      </c>
      <c r="H10" s="8" t="s">
        <v>190</v>
      </c>
    </row>
    <row r="11" spans="2:8" ht="15.75">
      <c r="E11" s="323"/>
      <c r="F11" s="323"/>
      <c r="G11" s="323"/>
    </row>
    <row r="12" spans="2:8" ht="15.75">
      <c r="B12" s="11" t="s">
        <v>154</v>
      </c>
      <c r="C12" s="11" t="s">
        <v>180</v>
      </c>
      <c r="D12" s="11" t="s">
        <v>193</v>
      </c>
      <c r="E12" s="323" t="s">
        <v>175</v>
      </c>
      <c r="F12" s="323" t="s">
        <v>176</v>
      </c>
      <c r="G12" s="323" t="s">
        <v>176</v>
      </c>
      <c r="H12" s="8" t="s">
        <v>177</v>
      </c>
    </row>
    <row r="13" spans="2:8" ht="15.75">
      <c r="B13" s="11" t="s">
        <v>154</v>
      </c>
      <c r="C13" s="12" t="s">
        <v>173</v>
      </c>
      <c r="D13" s="12" t="s">
        <v>194</v>
      </c>
      <c r="E13" s="323" t="s">
        <v>175</v>
      </c>
      <c r="F13" s="323" t="s">
        <v>175</v>
      </c>
      <c r="G13" s="323" t="s">
        <v>176</v>
      </c>
      <c r="H13" s="8" t="s">
        <v>177</v>
      </c>
    </row>
    <row r="14" spans="2:8" ht="15.75">
      <c r="B14" s="11" t="s">
        <v>154</v>
      </c>
      <c r="C14" s="12" t="s">
        <v>178</v>
      </c>
      <c r="D14" s="12" t="s">
        <v>195</v>
      </c>
      <c r="E14" s="323" t="s">
        <v>175</v>
      </c>
      <c r="F14" s="323" t="s">
        <v>175</v>
      </c>
      <c r="G14" s="323" t="s">
        <v>176</v>
      </c>
      <c r="H14" s="8" t="s">
        <v>177</v>
      </c>
    </row>
    <row r="15" spans="2:8" ht="15.75">
      <c r="B15" s="11" t="s">
        <v>154</v>
      </c>
      <c r="C15" s="12" t="s">
        <v>196</v>
      </c>
      <c r="D15" s="12" t="s">
        <v>197</v>
      </c>
      <c r="E15" s="323" t="s">
        <v>175</v>
      </c>
      <c r="F15" s="323" t="s">
        <v>175</v>
      </c>
      <c r="G15" s="323" t="s">
        <v>175</v>
      </c>
      <c r="H15" s="8" t="s">
        <v>190</v>
      </c>
    </row>
    <row r="16" spans="2:8" ht="15.75">
      <c r="B16" s="11" t="s">
        <v>154</v>
      </c>
      <c r="C16" s="12" t="s">
        <v>180</v>
      </c>
      <c r="D16" s="12" t="s">
        <v>198</v>
      </c>
      <c r="E16" s="323" t="s">
        <v>176</v>
      </c>
      <c r="F16" s="323" t="s">
        <v>176</v>
      </c>
      <c r="G16" s="323" t="s">
        <v>175</v>
      </c>
      <c r="H16" s="8" t="s">
        <v>184</v>
      </c>
    </row>
    <row r="17" spans="2:8" ht="15.75">
      <c r="B17" s="11" t="s">
        <v>154</v>
      </c>
      <c r="C17" s="12" t="s">
        <v>196</v>
      </c>
      <c r="D17" s="12" t="s">
        <v>199</v>
      </c>
      <c r="E17" s="323" t="s">
        <v>175</v>
      </c>
      <c r="F17" s="323" t="s">
        <v>175</v>
      </c>
      <c r="G17" s="323" t="s">
        <v>176</v>
      </c>
      <c r="H17" s="8" t="s">
        <v>190</v>
      </c>
    </row>
    <row r="18" spans="2:8" ht="15.75">
      <c r="B18" s="11"/>
      <c r="C18" s="12"/>
      <c r="D18" s="12"/>
      <c r="E18" s="323"/>
      <c r="F18" s="323"/>
      <c r="G18" s="323"/>
    </row>
    <row r="19" spans="2:8" ht="15.75">
      <c r="B19" s="11" t="s">
        <v>200</v>
      </c>
      <c r="C19" s="12" t="s">
        <v>201</v>
      </c>
      <c r="D19" s="12" t="s">
        <v>202</v>
      </c>
      <c r="E19" s="323" t="s">
        <v>175</v>
      </c>
      <c r="F19" s="323" t="s">
        <v>176</v>
      </c>
      <c r="G19" s="323" t="s">
        <v>175</v>
      </c>
      <c r="H19" s="8" t="s">
        <v>190</v>
      </c>
    </row>
    <row r="20" spans="2:8">
      <c r="B20" s="11"/>
      <c r="C20" s="12"/>
      <c r="D20" s="12"/>
      <c r="E20" s="15"/>
      <c r="F20" s="15"/>
    </row>
    <row r="21" spans="2:8">
      <c r="B21" s="226" t="s">
        <v>203</v>
      </c>
      <c r="E21" s="8"/>
      <c r="F21" s="8"/>
    </row>
    <row r="22" spans="2:8">
      <c r="B22" s="206" t="s">
        <v>193</v>
      </c>
      <c r="E22" s="8"/>
      <c r="F22" s="8"/>
    </row>
    <row r="23" spans="2:8">
      <c r="B23" s="206" t="s">
        <v>194</v>
      </c>
      <c r="E23" s="8"/>
      <c r="F23" s="8"/>
    </row>
    <row r="24" spans="2:8">
      <c r="B24" s="210" t="s">
        <v>195</v>
      </c>
      <c r="E24" s="8"/>
      <c r="F24" s="8"/>
    </row>
    <row r="25" spans="2:8">
      <c r="E25" s="8"/>
      <c r="F25" s="8"/>
    </row>
    <row r="26" spans="2:8">
      <c r="B26" s="226" t="s">
        <v>204</v>
      </c>
      <c r="E26" s="8"/>
      <c r="F26" s="8"/>
    </row>
    <row r="27" spans="2:8">
      <c r="B27" s="206" t="s">
        <v>181</v>
      </c>
      <c r="E27" s="8"/>
      <c r="F27" s="8"/>
    </row>
    <row r="28" spans="2:8">
      <c r="B28" s="206" t="s">
        <v>179</v>
      </c>
      <c r="E28" s="8"/>
      <c r="F28" s="8"/>
    </row>
    <row r="29" spans="2:8">
      <c r="B29" s="210" t="s">
        <v>174</v>
      </c>
      <c r="E29" s="8"/>
      <c r="F29" s="8"/>
    </row>
    <row r="30" spans="2:8">
      <c r="E30" s="8"/>
      <c r="F30" s="8"/>
    </row>
    <row r="31" spans="2:8">
      <c r="E31" s="8"/>
      <c r="F31" s="8"/>
    </row>
    <row r="32" spans="2:8">
      <c r="E32" s="8"/>
      <c r="F32" s="8"/>
    </row>
    <row r="33" spans="5:6">
      <c r="E33" s="8"/>
      <c r="F33" s="8"/>
    </row>
    <row r="34" spans="5:6">
      <c r="E34" s="8"/>
      <c r="F34" s="8"/>
    </row>
    <row r="35" spans="5:6">
      <c r="E35" s="8"/>
      <c r="F35" s="8"/>
    </row>
    <row r="36" spans="5:6">
      <c r="E36" s="8"/>
      <c r="F36" s="8"/>
    </row>
    <row r="37" spans="5:6">
      <c r="E37" s="8"/>
      <c r="F37" s="8"/>
    </row>
    <row r="38" spans="5:6">
      <c r="E38" s="8"/>
      <c r="F38" s="8"/>
    </row>
    <row r="39" spans="5:6">
      <c r="E39" s="8"/>
      <c r="F39" s="8"/>
    </row>
    <row r="40" spans="5:6">
      <c r="E40" s="8"/>
      <c r="F40" s="8"/>
    </row>
    <row r="41" spans="5:6">
      <c r="E41" s="8"/>
      <c r="F41" s="8"/>
    </row>
    <row r="42" spans="5:6">
      <c r="E42" s="8"/>
      <c r="F42" s="8"/>
    </row>
    <row r="43" spans="5:6">
      <c r="E43" s="8"/>
      <c r="F43" s="8"/>
    </row>
    <row r="44" spans="5:6">
      <c r="E44" s="8"/>
      <c r="F44" s="8"/>
    </row>
    <row r="45" spans="5:6">
      <c r="E45" s="8"/>
      <c r="F45" s="8"/>
    </row>
    <row r="46" spans="5:6">
      <c r="E46" s="8"/>
      <c r="F46" s="8"/>
    </row>
    <row r="47" spans="5:6">
      <c r="E47" s="8"/>
      <c r="F47" s="8"/>
    </row>
    <row r="48" spans="5:6">
      <c r="E48" s="8"/>
      <c r="F48" s="8"/>
    </row>
    <row r="49" spans="5:6">
      <c r="E49" s="8"/>
      <c r="F49" s="8"/>
    </row>
    <row r="50" spans="5:6">
      <c r="E50" s="8"/>
      <c r="F50" s="8"/>
    </row>
    <row r="51" spans="5:6">
      <c r="E51" s="8"/>
      <c r="F51" s="8"/>
    </row>
    <row r="52" spans="5:6">
      <c r="E52" s="8"/>
      <c r="F52" s="8"/>
    </row>
    <row r="53" spans="5:6">
      <c r="E53" s="8"/>
      <c r="F53" s="8"/>
    </row>
    <row r="54" spans="5:6">
      <c r="E54" s="8"/>
      <c r="F54" s="8"/>
    </row>
    <row r="55" spans="5:6">
      <c r="E55" s="8"/>
      <c r="F55" s="8"/>
    </row>
    <row r="56" spans="5:6">
      <c r="E56" s="8"/>
      <c r="F56" s="8"/>
    </row>
    <row r="57" spans="5:6">
      <c r="E57" s="8"/>
      <c r="F57" s="8"/>
    </row>
    <row r="58" spans="5:6">
      <c r="E58" s="8"/>
      <c r="F58" s="8"/>
    </row>
    <row r="59" spans="5:6">
      <c r="E59" s="8"/>
      <c r="F59" s="8"/>
    </row>
    <row r="60" spans="5:6">
      <c r="E60" s="8"/>
      <c r="F60" s="8"/>
    </row>
    <row r="61" spans="5:6">
      <c r="E61" s="8"/>
      <c r="F61" s="8"/>
    </row>
    <row r="62" spans="5:6">
      <c r="E62" s="8"/>
      <c r="F62" s="8"/>
    </row>
    <row r="63" spans="5:6">
      <c r="E63" s="8"/>
      <c r="F63" s="8"/>
    </row>
    <row r="64" spans="5:6">
      <c r="E64" s="8"/>
      <c r="F64" s="8"/>
    </row>
    <row r="65" spans="5:6">
      <c r="E65" s="8"/>
      <c r="F65" s="8"/>
    </row>
    <row r="66" spans="5:6">
      <c r="E66" s="8"/>
      <c r="F66" s="8"/>
    </row>
    <row r="67" spans="5:6">
      <c r="E67" s="8"/>
      <c r="F67" s="8"/>
    </row>
    <row r="68" spans="5:6">
      <c r="E68" s="8"/>
      <c r="F68" s="8"/>
    </row>
    <row r="69" spans="5:6">
      <c r="E69" s="8"/>
      <c r="F69" s="8"/>
    </row>
    <row r="70" spans="5:6">
      <c r="E70" s="8"/>
      <c r="F70" s="8"/>
    </row>
    <row r="71" spans="5:6">
      <c r="E71" s="8"/>
      <c r="F71" s="8"/>
    </row>
    <row r="72" spans="5:6">
      <c r="E72" s="8"/>
      <c r="F72" s="8"/>
    </row>
    <row r="73" spans="5:6">
      <c r="E73" s="8"/>
      <c r="F73" s="8"/>
    </row>
    <row r="74" spans="5:6">
      <c r="E74" s="8"/>
      <c r="F74" s="8"/>
    </row>
    <row r="75" spans="5:6">
      <c r="E75" s="8"/>
      <c r="F75" s="8"/>
    </row>
    <row r="76" spans="5:6">
      <c r="E76" s="8"/>
      <c r="F76" s="8"/>
    </row>
    <row r="77" spans="5:6">
      <c r="E77" s="8"/>
      <c r="F77" s="8"/>
    </row>
    <row r="78" spans="5:6">
      <c r="E78" s="8"/>
      <c r="F78" s="8"/>
    </row>
    <row r="79" spans="5:6">
      <c r="E79" s="8"/>
      <c r="F79" s="8"/>
    </row>
    <row r="80" spans="5:6">
      <c r="E80" s="8"/>
      <c r="F80" s="8"/>
    </row>
    <row r="81" spans="5:6">
      <c r="E81" s="8"/>
      <c r="F81" s="8"/>
    </row>
    <row r="82" spans="5:6">
      <c r="E82" s="8"/>
      <c r="F82" s="8"/>
    </row>
    <row r="83" spans="5:6">
      <c r="E83" s="8"/>
      <c r="F83" s="8"/>
    </row>
  </sheetData>
  <mergeCells count="5">
    <mergeCell ref="B2:B3"/>
    <mergeCell ref="C2:D2"/>
    <mergeCell ref="E2:F2"/>
    <mergeCell ref="G2:G3"/>
    <mergeCell ref="H2: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0296-03A8-4203-876B-9B364CBD04B6}">
  <sheetPr>
    <tabColor theme="7" tint="-0.499984740745262"/>
  </sheetPr>
  <dimension ref="B2:AA28"/>
  <sheetViews>
    <sheetView showGridLines="0" workbookViewId="0">
      <selection activeCell="X18" sqref="X18"/>
    </sheetView>
  </sheetViews>
  <sheetFormatPr defaultRowHeight="15"/>
  <cols>
    <col min="1" max="1" width="4.140625" customWidth="1"/>
    <col min="2" max="2" width="15.85546875" bestFit="1" customWidth="1"/>
    <col min="3" max="6" width="14.7109375" bestFit="1" customWidth="1"/>
    <col min="7" max="10" width="13.7109375" bestFit="1" customWidth="1"/>
    <col min="11" max="11" width="5.42578125" bestFit="1" customWidth="1"/>
    <col min="12" max="12" width="6" bestFit="1" customWidth="1"/>
    <col min="13" max="13" width="6.7109375" customWidth="1"/>
    <col min="14" max="14" width="5.42578125" bestFit="1" customWidth="1"/>
    <col min="15" max="18" width="5.5703125" bestFit="1" customWidth="1"/>
    <col min="19" max="19" width="5.28515625" customWidth="1"/>
    <col min="23" max="23" width="16.140625" bestFit="1" customWidth="1"/>
    <col min="24" max="24" width="21.5703125" bestFit="1" customWidth="1"/>
    <col min="25" max="25" width="17.5703125" bestFit="1" customWidth="1"/>
    <col min="26" max="26" width="12.42578125" customWidth="1"/>
    <col min="27" max="27" width="13.140625" customWidth="1"/>
  </cols>
  <sheetData>
    <row r="2" spans="2:27" ht="15.75">
      <c r="B2" s="453" t="s">
        <v>205</v>
      </c>
      <c r="C2" s="454"/>
      <c r="D2" s="454"/>
      <c r="E2" s="454"/>
      <c r="F2" s="454"/>
      <c r="G2" s="454"/>
      <c r="H2" s="454"/>
      <c r="I2" s="454"/>
      <c r="J2" s="454"/>
      <c r="K2" s="454"/>
      <c r="L2" s="454"/>
      <c r="M2" s="454"/>
      <c r="N2" s="454"/>
      <c r="O2" s="454"/>
      <c r="P2" s="454"/>
      <c r="Q2" s="454"/>
      <c r="R2" s="455"/>
      <c r="T2" s="456" t="s">
        <v>206</v>
      </c>
      <c r="U2" s="457"/>
      <c r="V2" s="457"/>
      <c r="W2" s="457"/>
      <c r="X2" s="457"/>
      <c r="Y2" s="457"/>
      <c r="Z2" s="457"/>
      <c r="AA2" s="458"/>
    </row>
    <row r="3" spans="2:27" ht="15.75">
      <c r="B3" s="228"/>
      <c r="C3" s="450" t="s">
        <v>207</v>
      </c>
      <c r="D3" s="451"/>
      <c r="E3" s="451"/>
      <c r="F3" s="452"/>
      <c r="G3" s="451" t="s">
        <v>208</v>
      </c>
      <c r="H3" s="451"/>
      <c r="I3" s="451"/>
      <c r="J3" s="451"/>
      <c r="K3" s="450" t="s">
        <v>209</v>
      </c>
      <c r="L3" s="451"/>
      <c r="M3" s="451"/>
      <c r="N3" s="452"/>
      <c r="O3" s="451" t="s">
        <v>210</v>
      </c>
      <c r="P3" s="451"/>
      <c r="Q3" s="451"/>
      <c r="R3" s="452"/>
      <c r="T3" s="229" t="s">
        <v>211</v>
      </c>
      <c r="U3" s="230" t="s">
        <v>212</v>
      </c>
      <c r="V3" s="230" t="s">
        <v>213</v>
      </c>
      <c r="W3" s="230" t="s">
        <v>214</v>
      </c>
      <c r="X3" s="230" t="s">
        <v>215</v>
      </c>
      <c r="Y3" s="230" t="s">
        <v>216</v>
      </c>
      <c r="Z3" s="230" t="s">
        <v>217</v>
      </c>
      <c r="AA3" s="231" t="s">
        <v>218</v>
      </c>
    </row>
    <row r="4" spans="2:27" ht="15.75">
      <c r="B4" s="232" t="s">
        <v>211</v>
      </c>
      <c r="C4" s="233">
        <v>2025</v>
      </c>
      <c r="D4" s="234">
        <v>2024</v>
      </c>
      <c r="E4" s="234">
        <v>2023</v>
      </c>
      <c r="F4" s="235">
        <v>2022</v>
      </c>
      <c r="G4" s="234">
        <v>2025</v>
      </c>
      <c r="H4" s="234">
        <v>2024</v>
      </c>
      <c r="I4" s="234">
        <v>2023</v>
      </c>
      <c r="J4" s="234">
        <v>2022</v>
      </c>
      <c r="K4" s="233">
        <v>2025</v>
      </c>
      <c r="L4" s="234">
        <v>2024</v>
      </c>
      <c r="M4" s="234">
        <v>2023</v>
      </c>
      <c r="N4" s="235">
        <v>2022</v>
      </c>
      <c r="O4" s="236">
        <v>2025</v>
      </c>
      <c r="P4" s="236">
        <v>2024</v>
      </c>
      <c r="Q4" s="236">
        <v>2023</v>
      </c>
      <c r="R4" s="237">
        <v>2022</v>
      </c>
      <c r="T4" s="238" t="s">
        <v>158</v>
      </c>
      <c r="U4" t="s">
        <v>71</v>
      </c>
      <c r="V4" t="s">
        <v>219</v>
      </c>
      <c r="W4" t="s">
        <v>220</v>
      </c>
      <c r="X4" s="239">
        <v>4622500000</v>
      </c>
      <c r="Y4" s="239">
        <v>6586950</v>
      </c>
      <c r="Z4">
        <v>4.3</v>
      </c>
      <c r="AA4" s="208">
        <v>15</v>
      </c>
    </row>
    <row r="5" spans="2:27" ht="15.75">
      <c r="B5" s="240" t="s">
        <v>92</v>
      </c>
      <c r="C5" s="241"/>
      <c r="D5" s="242">
        <v>40181.599999999999</v>
      </c>
      <c r="E5" s="242">
        <v>37158.9</v>
      </c>
      <c r="F5" s="242">
        <v>34074.199999999997</v>
      </c>
      <c r="G5" s="241"/>
      <c r="H5" s="242">
        <v>10378.1</v>
      </c>
      <c r="I5" s="242">
        <v>4881.8</v>
      </c>
      <c r="J5" s="242">
        <v>2648.6</v>
      </c>
      <c r="K5" s="243"/>
      <c r="L5" s="244">
        <v>25.8</v>
      </c>
      <c r="M5" s="244">
        <v>13.1</v>
      </c>
      <c r="N5" s="245">
        <v>7.8</v>
      </c>
      <c r="O5" s="246"/>
      <c r="P5" s="246">
        <v>3</v>
      </c>
      <c r="Q5" s="246">
        <v>3.1</v>
      </c>
      <c r="R5" s="247">
        <v>3.9</v>
      </c>
      <c r="T5" s="238" t="s">
        <v>162</v>
      </c>
      <c r="U5" t="s">
        <v>71</v>
      </c>
      <c r="V5" t="s">
        <v>221</v>
      </c>
      <c r="W5" t="s">
        <v>163</v>
      </c>
      <c r="X5" s="239">
        <v>6493770000</v>
      </c>
      <c r="Y5" s="239">
        <v>18678700</v>
      </c>
      <c r="Z5">
        <v>4</v>
      </c>
      <c r="AA5" s="208">
        <v>9</v>
      </c>
    </row>
    <row r="6" spans="2:27" ht="15.75">
      <c r="B6" s="240" t="s">
        <v>95</v>
      </c>
      <c r="C6" s="248"/>
      <c r="D6" s="249">
        <v>45366.7</v>
      </c>
      <c r="E6" s="249">
        <v>40985.1</v>
      </c>
      <c r="F6" s="249">
        <v>27132.5</v>
      </c>
      <c r="G6" s="248"/>
      <c r="H6" s="249">
        <v>2811.7</v>
      </c>
      <c r="I6" s="249">
        <v>2075.6</v>
      </c>
      <c r="J6" s="249">
        <v>1373.9</v>
      </c>
      <c r="K6" s="250">
        <f>H6/D6</f>
        <v>6.1977177092448869E-2</v>
      </c>
      <c r="L6" s="246">
        <v>6.2</v>
      </c>
      <c r="M6" s="246">
        <v>5.0999999999999996</v>
      </c>
      <c r="N6" s="247">
        <v>5.0999999999999996</v>
      </c>
      <c r="O6" s="246"/>
      <c r="P6" s="246">
        <v>4</v>
      </c>
      <c r="Q6" s="246">
        <v>3.5</v>
      </c>
      <c r="R6" s="247">
        <v>4.9000000000000004</v>
      </c>
      <c r="T6" s="238" t="s">
        <v>147</v>
      </c>
      <c r="U6" t="s">
        <v>71</v>
      </c>
      <c r="V6" t="s">
        <v>222</v>
      </c>
      <c r="W6" t="s">
        <v>148</v>
      </c>
      <c r="X6" s="239">
        <v>7056520000</v>
      </c>
      <c r="Y6" s="239">
        <v>14710400</v>
      </c>
      <c r="Z6">
        <v>2.9</v>
      </c>
      <c r="AA6" s="208">
        <v>15</v>
      </c>
    </row>
    <row r="7" spans="2:27" ht="15.75">
      <c r="B7" s="240" t="s">
        <v>98</v>
      </c>
      <c r="C7" s="248"/>
      <c r="D7" s="249">
        <v>36145.5</v>
      </c>
      <c r="E7" s="249">
        <v>25572.1</v>
      </c>
      <c r="F7" s="249">
        <v>22055.7</v>
      </c>
      <c r="G7" s="248"/>
      <c r="H7" s="249">
        <v>9579.6</v>
      </c>
      <c r="I7" s="249">
        <v>3523.5</v>
      </c>
      <c r="J7" s="249">
        <v>3121.3</v>
      </c>
      <c r="K7" s="251"/>
      <c r="L7" s="246">
        <v>26.5</v>
      </c>
      <c r="M7" s="246">
        <v>13.8</v>
      </c>
      <c r="N7" s="247">
        <v>14.2</v>
      </c>
      <c r="O7" s="246"/>
      <c r="P7" s="246">
        <v>1.1000000000000001</v>
      </c>
      <c r="Q7" s="246">
        <v>1.8</v>
      </c>
      <c r="R7" s="247">
        <v>2.2000000000000002</v>
      </c>
      <c r="T7" s="238" t="s">
        <v>160</v>
      </c>
      <c r="U7" t="s">
        <v>71</v>
      </c>
      <c r="V7" t="s">
        <v>222</v>
      </c>
      <c r="W7" t="s">
        <v>161</v>
      </c>
      <c r="X7" s="239">
        <v>2928320000</v>
      </c>
      <c r="Y7" s="239">
        <v>5559900</v>
      </c>
      <c r="Z7">
        <v>11.5</v>
      </c>
      <c r="AA7" s="208">
        <v>5</v>
      </c>
    </row>
    <row r="8" spans="2:27" ht="15.75">
      <c r="B8" s="240" t="s">
        <v>223</v>
      </c>
      <c r="C8" s="248">
        <v>138947</v>
      </c>
      <c r="D8" s="249">
        <v>135739</v>
      </c>
      <c r="E8" s="249">
        <v>124526</v>
      </c>
      <c r="F8" s="249">
        <v>114542</v>
      </c>
      <c r="G8" s="248">
        <v>44857</v>
      </c>
      <c r="H8" s="249">
        <v>41085</v>
      </c>
      <c r="I8" s="249">
        <v>33105</v>
      </c>
      <c r="J8" s="249">
        <v>29207</v>
      </c>
      <c r="K8" s="251">
        <v>32.299999999999997</v>
      </c>
      <c r="L8" s="246">
        <v>30.3</v>
      </c>
      <c r="M8" s="246">
        <v>26.6</v>
      </c>
      <c r="N8" s="247">
        <v>25.5</v>
      </c>
      <c r="O8" s="246">
        <v>0</v>
      </c>
      <c r="P8" s="246">
        <v>0</v>
      </c>
      <c r="Q8" s="246">
        <v>0</v>
      </c>
      <c r="R8" s="247">
        <v>0</v>
      </c>
      <c r="T8" s="238" t="s">
        <v>149</v>
      </c>
      <c r="U8" t="s">
        <v>71</v>
      </c>
      <c r="V8" t="s">
        <v>222</v>
      </c>
      <c r="W8" t="s">
        <v>150</v>
      </c>
      <c r="X8" s="239">
        <v>3003880000</v>
      </c>
      <c r="Y8" s="239">
        <v>6255030</v>
      </c>
      <c r="Z8">
        <v>0.8</v>
      </c>
      <c r="AA8" s="208">
        <v>7</v>
      </c>
    </row>
    <row r="9" spans="2:27" ht="15.75">
      <c r="B9" s="240" t="s">
        <v>104</v>
      </c>
      <c r="C9" s="248">
        <v>41785.9</v>
      </c>
      <c r="D9" s="249">
        <v>34731.4</v>
      </c>
      <c r="E9" s="249">
        <v>31123.200000000001</v>
      </c>
      <c r="F9" s="249">
        <v>26639.3</v>
      </c>
      <c r="G9" s="248">
        <v>15947</v>
      </c>
      <c r="H9" s="249">
        <v>11789.4</v>
      </c>
      <c r="I9" s="249">
        <v>9924.6</v>
      </c>
      <c r="J9" s="249">
        <v>7841.8</v>
      </c>
      <c r="K9" s="251">
        <v>38.200000000000003</v>
      </c>
      <c r="L9" s="246">
        <v>33.9</v>
      </c>
      <c r="M9" s="246">
        <v>31.9</v>
      </c>
      <c r="N9" s="247">
        <v>29.4</v>
      </c>
      <c r="O9" s="246">
        <v>0</v>
      </c>
      <c r="P9" s="246">
        <v>0</v>
      </c>
      <c r="Q9" s="246">
        <v>0</v>
      </c>
      <c r="R9" s="247">
        <v>0</v>
      </c>
      <c r="T9" s="238" t="s">
        <v>153</v>
      </c>
      <c r="U9" t="s">
        <v>224</v>
      </c>
      <c r="V9" t="s">
        <v>219</v>
      </c>
      <c r="W9" t="s">
        <v>154</v>
      </c>
      <c r="X9" s="239">
        <v>10381000000</v>
      </c>
      <c r="Y9" s="239">
        <v>19600500</v>
      </c>
      <c r="AA9" s="208">
        <v>13</v>
      </c>
    </row>
    <row r="10" spans="2:27" ht="15.75">
      <c r="B10" s="252" t="s">
        <v>107</v>
      </c>
      <c r="C10" s="248">
        <v>43300.3</v>
      </c>
      <c r="D10" s="249">
        <v>36972.199999999997</v>
      </c>
      <c r="E10" s="249">
        <v>34634.6</v>
      </c>
      <c r="F10" s="249">
        <v>27868.400000000001</v>
      </c>
      <c r="G10" s="248">
        <v>3380.9</v>
      </c>
      <c r="H10" s="249">
        <v>2644.8</v>
      </c>
      <c r="I10" s="249">
        <v>2266.1</v>
      </c>
      <c r="J10" s="249">
        <v>1140</v>
      </c>
      <c r="K10" s="251">
        <v>7.8</v>
      </c>
      <c r="L10" s="246">
        <v>7.2</v>
      </c>
      <c r="M10" s="246">
        <v>6.5</v>
      </c>
      <c r="N10" s="247">
        <v>4.0999999999999996</v>
      </c>
      <c r="O10" s="246">
        <v>0.2</v>
      </c>
      <c r="P10" s="246">
        <v>0</v>
      </c>
      <c r="Q10" s="246">
        <v>0.2</v>
      </c>
      <c r="R10" s="247">
        <v>2.2000000000000002</v>
      </c>
      <c r="T10" s="253" t="s">
        <v>155</v>
      </c>
      <c r="U10" t="s">
        <v>224</v>
      </c>
      <c r="V10" t="s">
        <v>219</v>
      </c>
      <c r="W10" t="s">
        <v>156</v>
      </c>
      <c r="X10" s="239">
        <v>7454830000</v>
      </c>
      <c r="Y10" s="239">
        <v>8892350</v>
      </c>
      <c r="AA10" s="208">
        <v>9</v>
      </c>
    </row>
    <row r="11" spans="2:27" ht="15.75">
      <c r="B11" s="240" t="s">
        <v>111</v>
      </c>
      <c r="C11" s="248"/>
      <c r="D11" s="249">
        <v>14360.7</v>
      </c>
      <c r="E11" s="249">
        <v>11905</v>
      </c>
      <c r="F11" s="249">
        <v>6363.5</v>
      </c>
      <c r="G11" s="248"/>
      <c r="H11" s="249">
        <v>10301.6</v>
      </c>
      <c r="I11" s="249">
        <v>5179.8999999999996</v>
      </c>
      <c r="J11" s="249">
        <v>3427.1</v>
      </c>
      <c r="K11" s="251"/>
      <c r="L11" s="246">
        <v>71.7</v>
      </c>
      <c r="M11" s="246">
        <v>43.5</v>
      </c>
      <c r="N11" s="247">
        <v>53.9</v>
      </c>
      <c r="O11" s="246"/>
      <c r="P11" s="246">
        <v>2.1</v>
      </c>
      <c r="Q11" s="246">
        <v>0.8</v>
      </c>
      <c r="R11" s="247">
        <v>0</v>
      </c>
      <c r="T11" s="254" t="s">
        <v>151</v>
      </c>
      <c r="U11" s="255" t="s">
        <v>224</v>
      </c>
      <c r="V11" s="255" t="s">
        <v>219</v>
      </c>
      <c r="W11" s="255" t="s">
        <v>225</v>
      </c>
      <c r="X11" s="256">
        <v>2217560000</v>
      </c>
      <c r="Y11" s="256">
        <v>3494730</v>
      </c>
      <c r="Z11" s="255"/>
      <c r="AA11" s="216">
        <v>5</v>
      </c>
    </row>
    <row r="12" spans="2:27" ht="15.75">
      <c r="B12" s="240" t="s">
        <v>105</v>
      </c>
      <c r="C12" s="248">
        <v>213595</v>
      </c>
      <c r="D12" s="249">
        <v>206005</v>
      </c>
      <c r="E12" s="249">
        <v>208066</v>
      </c>
      <c r="F12" s="249">
        <v>226508</v>
      </c>
      <c r="G12" s="248">
        <v>13814</v>
      </c>
      <c r="H12" s="249">
        <v>31592</v>
      </c>
      <c r="I12" s="249">
        <v>39940</v>
      </c>
      <c r="J12" s="249">
        <v>86106</v>
      </c>
      <c r="K12" s="251">
        <v>15.3</v>
      </c>
      <c r="L12" s="246">
        <v>19.2</v>
      </c>
      <c r="M12" s="246">
        <v>38</v>
      </c>
      <c r="N12" s="247">
        <v>45.6</v>
      </c>
      <c r="O12" s="246">
        <v>1</v>
      </c>
      <c r="P12" s="246">
        <v>1.1000000000000001</v>
      </c>
      <c r="Q12" s="246">
        <v>0.7</v>
      </c>
      <c r="R12" s="247">
        <v>0.5</v>
      </c>
    </row>
    <row r="13" spans="2:27" ht="15.75">
      <c r="B13" s="240" t="s">
        <v>116</v>
      </c>
      <c r="C13" s="248"/>
      <c r="D13" s="249">
        <v>6042.6</v>
      </c>
      <c r="E13" s="249">
        <v>5731.7</v>
      </c>
      <c r="F13" s="249">
        <v>4208.1000000000004</v>
      </c>
      <c r="G13" s="248"/>
      <c r="H13" s="249">
        <v>37986.9</v>
      </c>
      <c r="I13" s="249">
        <v>32503.599999999999</v>
      </c>
      <c r="J13" s="249">
        <v>29904.7</v>
      </c>
      <c r="K13" s="251"/>
      <c r="L13" s="246">
        <v>15.9</v>
      </c>
      <c r="M13" s="246">
        <v>17.600000000000001</v>
      </c>
      <c r="N13" s="247">
        <v>14.1</v>
      </c>
      <c r="O13" s="246"/>
      <c r="P13" s="246">
        <v>-0.4</v>
      </c>
      <c r="Q13" s="246">
        <v>-0.5</v>
      </c>
      <c r="R13" s="247">
        <v>-0.2</v>
      </c>
    </row>
    <row r="14" spans="2:27" ht="15.75">
      <c r="B14" s="257" t="s">
        <v>117</v>
      </c>
      <c r="C14" s="258"/>
      <c r="D14" s="259">
        <v>37271.599999999999</v>
      </c>
      <c r="E14" s="259">
        <v>28902.3</v>
      </c>
      <c r="F14" s="259">
        <v>17783.599999999999</v>
      </c>
      <c r="G14" s="258"/>
      <c r="H14" s="259">
        <v>1813.6</v>
      </c>
      <c r="I14" s="259">
        <v>1805.6</v>
      </c>
      <c r="J14" s="259">
        <v>1844.3</v>
      </c>
      <c r="K14" s="260"/>
      <c r="L14" s="261">
        <v>4.9000000000000004</v>
      </c>
      <c r="M14" s="261">
        <v>6.2</v>
      </c>
      <c r="N14" s="262">
        <v>10.4</v>
      </c>
      <c r="O14" s="261"/>
      <c r="P14" s="261">
        <v>2.8</v>
      </c>
      <c r="Q14" s="261">
        <v>2.9</v>
      </c>
      <c r="R14" s="262">
        <v>4.2</v>
      </c>
    </row>
    <row r="16" spans="2:27" ht="15.75">
      <c r="B16" s="227" t="s">
        <v>226</v>
      </c>
      <c r="C16" s="263"/>
      <c r="D16" s="263"/>
      <c r="E16" s="263"/>
      <c r="F16" s="263"/>
      <c r="G16" s="263"/>
      <c r="H16" s="263"/>
      <c r="I16" s="263"/>
      <c r="J16" s="263"/>
      <c r="K16" s="263"/>
      <c r="L16" s="263"/>
      <c r="M16" s="263"/>
      <c r="N16" s="263"/>
      <c r="O16" s="263"/>
      <c r="P16" s="263"/>
      <c r="Q16" s="263"/>
      <c r="R16" s="264"/>
    </row>
    <row r="17" spans="2:18">
      <c r="B17" s="228"/>
      <c r="C17" s="450" t="s">
        <v>207</v>
      </c>
      <c r="D17" s="451"/>
      <c r="E17" s="451"/>
      <c r="F17" s="451"/>
      <c r="G17" s="450" t="s">
        <v>208</v>
      </c>
      <c r="H17" s="451"/>
      <c r="I17" s="451"/>
      <c r="J17" s="451"/>
      <c r="K17" s="450" t="s">
        <v>209</v>
      </c>
      <c r="L17" s="451"/>
      <c r="M17" s="451"/>
      <c r="N17" s="452"/>
      <c r="O17" s="451" t="s">
        <v>210</v>
      </c>
      <c r="P17" s="451"/>
      <c r="Q17" s="451"/>
      <c r="R17" s="452"/>
    </row>
    <row r="18" spans="2:18" ht="15.75">
      <c r="B18" s="265" t="s">
        <v>211</v>
      </c>
      <c r="C18" s="233">
        <v>2025</v>
      </c>
      <c r="D18" s="234">
        <v>2024</v>
      </c>
      <c r="E18" s="234">
        <v>2023</v>
      </c>
      <c r="F18" s="234">
        <v>2022</v>
      </c>
      <c r="G18" s="233">
        <v>2025</v>
      </c>
      <c r="H18" s="234">
        <v>2024</v>
      </c>
      <c r="I18" s="234">
        <v>2023</v>
      </c>
      <c r="J18" s="234">
        <v>2022</v>
      </c>
      <c r="K18" s="233">
        <v>2025</v>
      </c>
      <c r="L18" s="234">
        <v>2024</v>
      </c>
      <c r="M18" s="234">
        <v>2023</v>
      </c>
      <c r="N18" s="235">
        <v>2022</v>
      </c>
      <c r="O18" s="234">
        <v>2025</v>
      </c>
      <c r="P18" s="234">
        <v>2024</v>
      </c>
      <c r="Q18" s="234">
        <v>2023</v>
      </c>
      <c r="R18" s="235">
        <v>2022</v>
      </c>
    </row>
    <row r="19" spans="2:18" ht="15.75">
      <c r="B19" s="266" t="s">
        <v>93</v>
      </c>
      <c r="C19" s="241"/>
      <c r="D19" s="242">
        <v>22651</v>
      </c>
      <c r="E19" s="242">
        <v>21479.5</v>
      </c>
      <c r="F19" s="242">
        <v>20535.3</v>
      </c>
      <c r="G19" s="241"/>
      <c r="H19" s="242">
        <v>2318.1</v>
      </c>
      <c r="I19" s="242">
        <v>2067.3000000000002</v>
      </c>
      <c r="J19" s="242">
        <v>1224.2</v>
      </c>
      <c r="K19" s="243"/>
      <c r="L19" s="244">
        <v>10.199999999999999</v>
      </c>
      <c r="M19" s="244">
        <v>9.6</v>
      </c>
      <c r="N19" s="245">
        <v>6</v>
      </c>
      <c r="O19" s="244"/>
      <c r="P19" s="244">
        <v>2.6</v>
      </c>
      <c r="Q19" s="244">
        <v>2</v>
      </c>
      <c r="R19" s="245">
        <v>2.7</v>
      </c>
    </row>
    <row r="20" spans="2:18" ht="15.75">
      <c r="B20" s="267" t="s">
        <v>227</v>
      </c>
      <c r="C20" s="248"/>
      <c r="D20" s="249">
        <v>11218.6</v>
      </c>
      <c r="E20" s="249">
        <v>10747.8</v>
      </c>
      <c r="F20" s="249">
        <v>11906.6</v>
      </c>
      <c r="G20" s="248"/>
      <c r="H20" s="249">
        <v>4279.3</v>
      </c>
      <c r="I20" s="249">
        <v>3429.6</v>
      </c>
      <c r="J20" s="249">
        <v>2663.1</v>
      </c>
      <c r="K20" s="251"/>
      <c r="L20" s="246">
        <v>38.1</v>
      </c>
      <c r="M20" s="246">
        <v>31.9</v>
      </c>
      <c r="N20" s="247">
        <v>22.4</v>
      </c>
      <c r="O20" s="246"/>
      <c r="P20" s="246">
        <v>3.2</v>
      </c>
      <c r="Q20" s="246">
        <v>2.5</v>
      </c>
      <c r="R20" s="247">
        <v>2.6</v>
      </c>
    </row>
    <row r="21" spans="2:18" ht="15.75">
      <c r="B21" s="268" t="s">
        <v>92</v>
      </c>
      <c r="C21" s="248"/>
      <c r="D21" s="249">
        <v>40181.599999999999</v>
      </c>
      <c r="E21" s="249">
        <v>37158.9</v>
      </c>
      <c r="F21" s="249">
        <v>34074.199999999997</v>
      </c>
      <c r="G21" s="248"/>
      <c r="H21" s="249">
        <v>10378.1</v>
      </c>
      <c r="I21" s="249">
        <v>4881.8</v>
      </c>
      <c r="J21" s="249">
        <v>2648.6</v>
      </c>
      <c r="K21" s="251"/>
      <c r="L21" s="246">
        <v>25.8</v>
      </c>
      <c r="M21" s="246">
        <v>13.1</v>
      </c>
      <c r="N21" s="247">
        <v>7.8</v>
      </c>
      <c r="O21" s="246"/>
      <c r="P21" s="246">
        <v>3</v>
      </c>
      <c r="Q21" s="246">
        <v>3.1</v>
      </c>
      <c r="R21" s="247">
        <v>3.9</v>
      </c>
    </row>
    <row r="22" spans="2:18" ht="15.75">
      <c r="B22" s="240" t="s">
        <v>223</v>
      </c>
      <c r="C22" s="248">
        <v>138947</v>
      </c>
      <c r="D22" s="249">
        <v>135739</v>
      </c>
      <c r="E22" s="249">
        <v>124526</v>
      </c>
      <c r="F22" s="249">
        <v>114542</v>
      </c>
      <c r="G22" s="248">
        <v>44857</v>
      </c>
      <c r="H22" s="249">
        <v>41085</v>
      </c>
      <c r="I22" s="249">
        <v>33105</v>
      </c>
      <c r="J22" s="249">
        <v>29207</v>
      </c>
      <c r="K22" s="251">
        <v>32.299999999999997</v>
      </c>
      <c r="L22" s="246">
        <v>30.3</v>
      </c>
      <c r="M22" s="246">
        <v>26.6</v>
      </c>
      <c r="N22" s="247">
        <v>25.5</v>
      </c>
      <c r="O22" s="246">
        <v>0</v>
      </c>
      <c r="P22" s="246">
        <v>0</v>
      </c>
      <c r="Q22" s="246">
        <v>0</v>
      </c>
      <c r="R22" s="247">
        <v>0</v>
      </c>
    </row>
    <row r="23" spans="2:18" ht="15.75">
      <c r="B23" s="240" t="s">
        <v>105</v>
      </c>
      <c r="C23" s="248">
        <v>213595</v>
      </c>
      <c r="D23" s="249">
        <v>206005</v>
      </c>
      <c r="E23" s="249">
        <v>208066</v>
      </c>
      <c r="F23" s="249">
        <v>226508</v>
      </c>
      <c r="G23" s="248">
        <v>13814</v>
      </c>
      <c r="H23" s="249">
        <v>31592</v>
      </c>
      <c r="I23" s="249">
        <v>39940</v>
      </c>
      <c r="J23" s="249">
        <v>86106</v>
      </c>
      <c r="K23" s="251">
        <v>15.3</v>
      </c>
      <c r="L23" s="246">
        <v>19.2</v>
      </c>
      <c r="M23" s="246">
        <v>38</v>
      </c>
      <c r="N23" s="247">
        <v>45.6</v>
      </c>
      <c r="O23" s="246">
        <v>1</v>
      </c>
      <c r="P23" s="246">
        <v>1.1000000000000001</v>
      </c>
      <c r="Q23" s="246">
        <v>0.7</v>
      </c>
      <c r="R23" s="247">
        <v>0.5</v>
      </c>
    </row>
    <row r="24" spans="2:18" ht="15.75">
      <c r="B24" s="240" t="s">
        <v>108</v>
      </c>
      <c r="C24" s="248"/>
      <c r="D24" s="249">
        <v>2818.9</v>
      </c>
      <c r="E24" s="249">
        <v>2804.5</v>
      </c>
      <c r="F24" s="249">
        <v>1166.5999999999999</v>
      </c>
      <c r="G24" s="248"/>
      <c r="H24" s="249">
        <v>698.5</v>
      </c>
      <c r="I24" s="249">
        <v>3387</v>
      </c>
      <c r="J24" s="249">
        <v>155.9</v>
      </c>
      <c r="K24" s="251"/>
      <c r="L24" s="246">
        <v>24.8</v>
      </c>
      <c r="M24" s="246">
        <v>120.8</v>
      </c>
      <c r="N24" s="247">
        <v>13.4</v>
      </c>
      <c r="O24" s="246"/>
      <c r="P24" s="246">
        <v>3.8</v>
      </c>
      <c r="Q24" s="246">
        <v>3.1</v>
      </c>
      <c r="R24" s="247">
        <v>3.8</v>
      </c>
    </row>
    <row r="25" spans="2:18" ht="15.75">
      <c r="B25" s="269" t="s">
        <v>118</v>
      </c>
      <c r="C25" s="248"/>
      <c r="D25" s="249">
        <v>7684.7</v>
      </c>
      <c r="E25" s="249">
        <v>6470.9</v>
      </c>
      <c r="F25" s="249">
        <v>4463</v>
      </c>
      <c r="G25" s="248"/>
      <c r="H25" s="249">
        <v>616.20000000000005</v>
      </c>
      <c r="I25" s="249">
        <v>423.8</v>
      </c>
      <c r="J25" s="249">
        <v>307.89999999999998</v>
      </c>
      <c r="K25" s="251"/>
      <c r="L25" s="246">
        <v>8</v>
      </c>
      <c r="M25" s="246">
        <v>6.5</v>
      </c>
      <c r="N25" s="247">
        <v>6.9</v>
      </c>
      <c r="O25" s="246"/>
      <c r="P25" s="246">
        <v>1.5</v>
      </c>
      <c r="Q25" s="246">
        <v>2.1</v>
      </c>
      <c r="R25" s="247">
        <v>2</v>
      </c>
    </row>
    <row r="26" spans="2:18" ht="15.75">
      <c r="B26" s="269" t="s">
        <v>114</v>
      </c>
      <c r="C26" s="248">
        <v>88242.5</v>
      </c>
      <c r="D26" s="249">
        <v>89452.7</v>
      </c>
      <c r="E26" s="249">
        <v>79736.899999999994</v>
      </c>
      <c r="F26" s="249">
        <v>79708.800000000003</v>
      </c>
      <c r="G26" s="248">
        <v>15503.4</v>
      </c>
      <c r="H26" s="249">
        <v>14437.2</v>
      </c>
      <c r="I26" s="249">
        <v>14501.9</v>
      </c>
      <c r="J26" s="249">
        <v>14457.9</v>
      </c>
      <c r="K26" s="251">
        <v>17.600000000000001</v>
      </c>
      <c r="L26" s="246">
        <v>16.100000000000001</v>
      </c>
      <c r="M26" s="246">
        <v>18.2</v>
      </c>
      <c r="N26" s="247">
        <v>18.100000000000001</v>
      </c>
      <c r="O26" s="246">
        <v>-0.6</v>
      </c>
      <c r="P26" s="246">
        <v>-0.9</v>
      </c>
      <c r="Q26" s="246">
        <v>-0.5</v>
      </c>
      <c r="R26" s="247">
        <v>-0.5</v>
      </c>
    </row>
    <row r="27" spans="2:18" ht="15.75">
      <c r="B27" s="269" t="s">
        <v>111</v>
      </c>
      <c r="C27" s="248"/>
      <c r="D27" s="249">
        <v>14360.7</v>
      </c>
      <c r="E27" s="249">
        <v>11905</v>
      </c>
      <c r="F27" s="249">
        <v>6363.5</v>
      </c>
      <c r="G27" s="248"/>
      <c r="H27" s="249">
        <v>10301.6</v>
      </c>
      <c r="I27" s="249">
        <v>5179.8999999999996</v>
      </c>
      <c r="J27" s="249">
        <v>3427.1</v>
      </c>
      <c r="K27" s="251"/>
      <c r="L27" s="246">
        <v>71.7</v>
      </c>
      <c r="M27" s="246">
        <v>43.5</v>
      </c>
      <c r="N27" s="247">
        <v>53.9</v>
      </c>
      <c r="O27" s="246"/>
      <c r="P27" s="246">
        <v>2.1</v>
      </c>
      <c r="Q27" s="246">
        <v>0.8</v>
      </c>
      <c r="R27" s="247">
        <v>0</v>
      </c>
    </row>
    <row r="28" spans="2:18" ht="15.75">
      <c r="B28" s="270" t="s">
        <v>116</v>
      </c>
      <c r="C28" s="258"/>
      <c r="D28" s="259">
        <v>6042.6</v>
      </c>
      <c r="E28" s="259">
        <v>5731.7</v>
      </c>
      <c r="F28" s="259">
        <v>4208.1000000000004</v>
      </c>
      <c r="G28" s="258"/>
      <c r="H28" s="259">
        <v>37986.9</v>
      </c>
      <c r="I28" s="259">
        <v>32503.599999999999</v>
      </c>
      <c r="J28" s="259">
        <v>29904.7</v>
      </c>
      <c r="K28" s="260"/>
      <c r="L28" s="261">
        <v>15.9</v>
      </c>
      <c r="M28" s="261">
        <v>17.600000000000001</v>
      </c>
      <c r="N28" s="262">
        <v>14.1</v>
      </c>
      <c r="O28" s="261"/>
      <c r="P28" s="261">
        <v>-0.4</v>
      </c>
      <c r="Q28" s="261">
        <v>-0.5</v>
      </c>
      <c r="R28" s="262">
        <v>-0.2</v>
      </c>
    </row>
  </sheetData>
  <mergeCells count="10">
    <mergeCell ref="T2:AA2"/>
    <mergeCell ref="C3:F3"/>
    <mergeCell ref="G3:J3"/>
    <mergeCell ref="K3:N3"/>
    <mergeCell ref="O3:R3"/>
    <mergeCell ref="C17:F17"/>
    <mergeCell ref="G17:J17"/>
    <mergeCell ref="K17:N17"/>
    <mergeCell ref="O17:R17"/>
    <mergeCell ref="B2:R2"/>
  </mergeCells>
  <conditionalFormatting sqref="O5:R14">
    <cfRule type="cellIs" dxfId="25" priority="24" operator="greaterThanOrEqual">
      <formula>3</formula>
    </cfRule>
  </conditionalFormatting>
  <conditionalFormatting sqref="O5:R14">
    <cfRule type="cellIs" dxfId="24" priority="23" operator="lessThanOrEqual">
      <formula>2.99</formula>
    </cfRule>
  </conditionalFormatting>
  <conditionalFormatting sqref="O19:R28">
    <cfRule type="cellIs" dxfId="23" priority="22" operator="greaterThanOrEqual">
      <formula>3</formula>
    </cfRule>
  </conditionalFormatting>
  <conditionalFormatting sqref="O19:R28">
    <cfRule type="cellIs" dxfId="22" priority="21" operator="lessThanOrEqual">
      <formula>2.99</formula>
    </cfRule>
  </conditionalFormatting>
  <conditionalFormatting sqref="C5:E14">
    <cfRule type="cellIs" dxfId="21" priority="20" operator="greaterThanOrEqual">
      <formula>D5</formula>
    </cfRule>
  </conditionalFormatting>
  <conditionalFormatting sqref="G5:I14">
    <cfRule type="cellIs" dxfId="20" priority="19" operator="greaterThanOrEqual">
      <formula>H5</formula>
    </cfRule>
  </conditionalFormatting>
  <conditionalFormatting sqref="C19:E28">
    <cfRule type="cellIs" dxfId="19" priority="18" operator="greaterThanOrEqual">
      <formula>D19</formula>
    </cfRule>
  </conditionalFormatting>
  <conditionalFormatting sqref="C5:F14">
    <cfRule type="cellIs" dxfId="18" priority="17" operator="lessThan">
      <formula>D5</formula>
    </cfRule>
  </conditionalFormatting>
  <conditionalFormatting sqref="C19:F28">
    <cfRule type="cellIs" dxfId="17" priority="16" operator="lessThan">
      <formula>D19</formula>
    </cfRule>
  </conditionalFormatting>
  <conditionalFormatting sqref="G5:I14">
    <cfRule type="cellIs" dxfId="16" priority="15" operator="lessThan">
      <formula>H5</formula>
    </cfRule>
  </conditionalFormatting>
  <conditionalFormatting sqref="G19:I28">
    <cfRule type="cellIs" dxfId="15" priority="14" operator="greaterThanOrEqual">
      <formula>H19</formula>
    </cfRule>
  </conditionalFormatting>
  <conditionalFormatting sqref="G19:I28">
    <cfRule type="cellIs" dxfId="14" priority="13" operator="lessThan">
      <formula>H19</formula>
    </cfRule>
  </conditionalFormatting>
  <conditionalFormatting sqref="K5:N14">
    <cfRule type="cellIs" dxfId="13" priority="11" operator="lessThanOrEqual">
      <formula>10</formula>
    </cfRule>
    <cfRule type="cellIs" dxfId="12" priority="12" operator="greaterThan">
      <formula>10</formula>
    </cfRule>
  </conditionalFormatting>
  <conditionalFormatting sqref="K19:N28">
    <cfRule type="cellIs" dxfId="11" priority="9" operator="lessThanOrEqual">
      <formula>10</formula>
    </cfRule>
    <cfRule type="cellIs" dxfId="10" priority="10" operator="greaterThan">
      <formula>10</formula>
    </cfRule>
  </conditionalFormatting>
  <conditionalFormatting sqref="X4:X11">
    <cfRule type="cellIs" dxfId="9" priority="7" operator="lessThan">
      <formula>1000000000</formula>
    </cfRule>
    <cfRule type="cellIs" dxfId="8" priority="8" operator="greaterThan">
      <formula>1000000000</formula>
    </cfRule>
  </conditionalFormatting>
  <conditionalFormatting sqref="Y4:Y11">
    <cfRule type="cellIs" dxfId="7" priority="5" operator="lessThan">
      <formula>2000000</formula>
    </cfRule>
    <cfRule type="cellIs" dxfId="6" priority="6" operator="greaterThan">
      <formula>2000000</formula>
    </cfRule>
  </conditionalFormatting>
  <conditionalFormatting sqref="Z4:Z11">
    <cfRule type="cellIs" dxfId="5" priority="3" operator="lessThanOrEqual">
      <formula>10</formula>
    </cfRule>
    <cfRule type="cellIs" dxfId="4" priority="4" operator="greaterThan">
      <formula>10</formula>
    </cfRule>
  </conditionalFormatting>
  <conditionalFormatting sqref="AA4:AA11">
    <cfRule type="cellIs" dxfId="3" priority="1" operator="lessThan">
      <formula>5</formula>
    </cfRule>
    <cfRule type="cellIs" dxfId="2" priority="2" operator="greaterThanOrEqual">
      <formula>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5BC0-5F81-465A-9FB0-5C14AA53EA20}">
  <sheetPr>
    <tabColor rgb="FF0070C0"/>
  </sheetPr>
  <dimension ref="B3:Q61"/>
  <sheetViews>
    <sheetView showGridLines="0" tabSelected="1" topLeftCell="A26" workbookViewId="0">
      <selection activeCell="H50" sqref="H50"/>
    </sheetView>
  </sheetViews>
  <sheetFormatPr defaultRowHeight="15" customHeight="1"/>
  <cols>
    <col min="1" max="1" width="5.85546875" customWidth="1"/>
    <col min="2" max="2" width="15.42578125" customWidth="1"/>
    <col min="3" max="3" width="5.28515625" customWidth="1"/>
    <col min="5" max="5" width="19.7109375" style="4" bestFit="1" customWidth="1"/>
    <col min="6" max="6" width="24" style="1" customWidth="1"/>
    <col min="7" max="7" width="52.42578125" style="1" bestFit="1" customWidth="1"/>
    <col min="8" max="8" width="20.7109375" style="1" customWidth="1"/>
    <col min="9" max="9" width="16.5703125" style="1" customWidth="1"/>
    <col min="10" max="10" width="19.85546875" customWidth="1"/>
    <col min="11" max="11" width="12.28515625" customWidth="1"/>
    <col min="12" max="12" width="24.5703125" style="8" bestFit="1" customWidth="1"/>
    <col min="13" max="13" width="36" bestFit="1" customWidth="1"/>
    <col min="14" max="14" width="9.85546875" style="8" customWidth="1"/>
    <col min="15" max="15" width="19.7109375" bestFit="1" customWidth="1"/>
  </cols>
  <sheetData>
    <row r="3" spans="2:17">
      <c r="E3" s="64" t="s">
        <v>228</v>
      </c>
      <c r="F3" s="64" t="s">
        <v>229</v>
      </c>
      <c r="G3" s="7" t="s">
        <v>230</v>
      </c>
      <c r="H3" s="6" t="s">
        <v>231</v>
      </c>
      <c r="I3" s="271" t="s">
        <v>232</v>
      </c>
      <c r="J3" s="9" t="s">
        <v>233</v>
      </c>
      <c r="K3" s="9" t="s">
        <v>234</v>
      </c>
      <c r="L3" s="9" t="s">
        <v>235</v>
      </c>
      <c r="M3" s="9" t="s">
        <v>236</v>
      </c>
      <c r="N3" s="9" t="s">
        <v>186</v>
      </c>
      <c r="O3" s="9" t="s">
        <v>237</v>
      </c>
    </row>
    <row r="4" spans="2:17">
      <c r="B4" s="319" t="s">
        <v>238</v>
      </c>
      <c r="E4" s="4" t="s">
        <v>239</v>
      </c>
      <c r="F4" s="65" t="s">
        <v>238</v>
      </c>
      <c r="G4" s="5" t="s">
        <v>240</v>
      </c>
      <c r="H4" s="1">
        <v>0</v>
      </c>
      <c r="I4" s="1" t="s">
        <v>177</v>
      </c>
      <c r="J4" s="2" t="s">
        <v>241</v>
      </c>
      <c r="K4" s="8" t="s">
        <v>242</v>
      </c>
      <c r="L4" s="320" t="s">
        <v>243</v>
      </c>
      <c r="N4" s="8" t="s">
        <v>244</v>
      </c>
      <c r="O4" t="s">
        <v>245</v>
      </c>
    </row>
    <row r="5" spans="2:17">
      <c r="B5" s="321" t="s">
        <v>246</v>
      </c>
      <c r="E5" s="4" t="s">
        <v>247</v>
      </c>
      <c r="F5" s="65" t="s">
        <v>238</v>
      </c>
      <c r="G5" s="5" t="s">
        <v>248</v>
      </c>
      <c r="H5" s="1">
        <v>0</v>
      </c>
      <c r="I5" s="1" t="s">
        <v>177</v>
      </c>
      <c r="J5" s="2" t="s">
        <v>241</v>
      </c>
      <c r="K5" s="8" t="s">
        <v>242</v>
      </c>
      <c r="L5" s="320" t="s">
        <v>243</v>
      </c>
      <c r="N5" s="8" t="s">
        <v>244</v>
      </c>
      <c r="O5" t="s">
        <v>249</v>
      </c>
    </row>
    <row r="6" spans="2:17">
      <c r="B6" s="66" t="s">
        <v>16</v>
      </c>
      <c r="E6" s="4" t="s">
        <v>247</v>
      </c>
      <c r="F6" s="65" t="s">
        <v>238</v>
      </c>
      <c r="G6" s="5" t="s">
        <v>250</v>
      </c>
      <c r="H6" s="1">
        <v>0</v>
      </c>
      <c r="I6" s="1" t="s">
        <v>251</v>
      </c>
      <c r="J6" s="2" t="s">
        <v>241</v>
      </c>
      <c r="K6" s="8" t="s">
        <v>242</v>
      </c>
      <c r="L6" s="320" t="s">
        <v>243</v>
      </c>
      <c r="N6" s="8" t="s">
        <v>244</v>
      </c>
      <c r="O6" t="s">
        <v>252</v>
      </c>
    </row>
    <row r="7" spans="2:17">
      <c r="B7" s="67" t="s">
        <v>74</v>
      </c>
      <c r="E7" s="4" t="s">
        <v>253</v>
      </c>
      <c r="F7" s="65" t="s">
        <v>238</v>
      </c>
      <c r="G7" s="5" t="s">
        <v>254</v>
      </c>
      <c r="H7" s="1">
        <v>0</v>
      </c>
      <c r="I7" s="1" t="s">
        <v>177</v>
      </c>
      <c r="J7" s="2" t="s">
        <v>241</v>
      </c>
      <c r="K7" s="8" t="s">
        <v>242</v>
      </c>
      <c r="L7" s="320" t="s">
        <v>243</v>
      </c>
      <c r="N7" s="8" t="s">
        <v>244</v>
      </c>
      <c r="O7" t="s">
        <v>255</v>
      </c>
    </row>
    <row r="8" spans="2:17">
      <c r="E8" s="4" t="s">
        <v>253</v>
      </c>
      <c r="F8" s="65" t="s">
        <v>238</v>
      </c>
      <c r="G8" s="5" t="s">
        <v>256</v>
      </c>
      <c r="H8" s="1">
        <v>0</v>
      </c>
      <c r="I8" s="1" t="s">
        <v>251</v>
      </c>
      <c r="J8" s="2" t="s">
        <v>241</v>
      </c>
      <c r="K8" s="8" t="s">
        <v>242</v>
      </c>
      <c r="L8" s="320" t="s">
        <v>243</v>
      </c>
      <c r="N8" s="8" t="s">
        <v>244</v>
      </c>
      <c r="O8" t="s">
        <v>257</v>
      </c>
      <c r="Q8" t="s">
        <v>14</v>
      </c>
    </row>
    <row r="9" spans="2:17">
      <c r="D9" s="43"/>
      <c r="E9" s="4" t="s">
        <v>258</v>
      </c>
      <c r="F9" s="65" t="s">
        <v>238</v>
      </c>
      <c r="G9" s="5" t="s">
        <v>259</v>
      </c>
      <c r="H9" s="1">
        <v>0</v>
      </c>
      <c r="I9" s="1" t="s">
        <v>251</v>
      </c>
      <c r="J9" s="3" t="s">
        <v>260</v>
      </c>
      <c r="K9" s="8" t="s">
        <v>242</v>
      </c>
      <c r="L9" s="320" t="s">
        <v>243</v>
      </c>
      <c r="M9" s="223" t="s">
        <v>261</v>
      </c>
      <c r="N9" s="8" t="s">
        <v>262</v>
      </c>
      <c r="O9" t="s">
        <v>263</v>
      </c>
    </row>
    <row r="10" spans="2:17">
      <c r="D10" s="43"/>
      <c r="E10" s="4" t="s">
        <v>258</v>
      </c>
      <c r="F10" s="65" t="s">
        <v>238</v>
      </c>
      <c r="G10" s="4" t="s">
        <v>264</v>
      </c>
      <c r="H10" s="1">
        <v>0</v>
      </c>
      <c r="I10" s="1" t="s">
        <v>251</v>
      </c>
      <c r="J10" s="2" t="s">
        <v>241</v>
      </c>
      <c r="K10" s="8" t="s">
        <v>242</v>
      </c>
      <c r="L10" s="8" t="s">
        <v>243</v>
      </c>
      <c r="M10" s="223" t="s">
        <v>261</v>
      </c>
      <c r="N10" s="8" t="s">
        <v>262</v>
      </c>
      <c r="O10" t="s">
        <v>265</v>
      </c>
    </row>
    <row r="11" spans="2:17">
      <c r="D11" s="43"/>
      <c r="E11" s="4" t="s">
        <v>186</v>
      </c>
      <c r="F11" s="65" t="s">
        <v>238</v>
      </c>
      <c r="G11" s="4" t="s">
        <v>266</v>
      </c>
      <c r="H11" s="1">
        <v>0</v>
      </c>
      <c r="I11" s="1" t="s">
        <v>177</v>
      </c>
      <c r="J11" s="2" t="s">
        <v>241</v>
      </c>
      <c r="K11" s="8" t="s">
        <v>242</v>
      </c>
      <c r="L11" s="8" t="s">
        <v>243</v>
      </c>
      <c r="M11" t="s">
        <v>267</v>
      </c>
      <c r="N11" s="8" t="s">
        <v>262</v>
      </c>
      <c r="O11" t="s">
        <v>268</v>
      </c>
    </row>
    <row r="12" spans="2:17">
      <c r="D12" s="43"/>
      <c r="E12" s="4" t="s">
        <v>269</v>
      </c>
      <c r="F12" s="65" t="s">
        <v>270</v>
      </c>
      <c r="G12" s="4" t="s">
        <v>271</v>
      </c>
      <c r="H12" s="1">
        <v>1</v>
      </c>
      <c r="I12" s="1" t="s">
        <v>190</v>
      </c>
      <c r="J12" s="2" t="s">
        <v>241</v>
      </c>
      <c r="K12" s="8" t="s">
        <v>272</v>
      </c>
      <c r="L12" s="8" t="s">
        <v>273</v>
      </c>
      <c r="M12" t="s">
        <v>274</v>
      </c>
      <c r="N12" s="8" t="s">
        <v>244</v>
      </c>
      <c r="O12" t="s">
        <v>275</v>
      </c>
    </row>
    <row r="13" spans="2:17">
      <c r="D13" s="43"/>
      <c r="E13" s="4" t="s">
        <v>276</v>
      </c>
      <c r="F13" s="65" t="s">
        <v>238</v>
      </c>
      <c r="G13" s="5" t="s">
        <v>277</v>
      </c>
      <c r="H13" s="1">
        <v>1</v>
      </c>
      <c r="I13" s="1" t="s">
        <v>177</v>
      </c>
      <c r="J13" s="2" t="s">
        <v>241</v>
      </c>
      <c r="K13" s="8" t="s">
        <v>244</v>
      </c>
      <c r="L13" s="8" t="s">
        <v>278</v>
      </c>
      <c r="M13" t="s">
        <v>279</v>
      </c>
      <c r="N13" s="8" t="s">
        <v>244</v>
      </c>
      <c r="O13" t="s">
        <v>280</v>
      </c>
    </row>
    <row r="14" spans="2:17">
      <c r="D14" s="43"/>
      <c r="E14" s="4" t="s">
        <v>281</v>
      </c>
      <c r="F14" s="65" t="s">
        <v>270</v>
      </c>
      <c r="G14" s="5" t="s">
        <v>282</v>
      </c>
      <c r="H14" s="1">
        <v>5</v>
      </c>
      <c r="I14" s="1" t="s">
        <v>177</v>
      </c>
      <c r="J14" s="2" t="s">
        <v>241</v>
      </c>
      <c r="K14" s="8" t="s">
        <v>242</v>
      </c>
      <c r="L14" s="8" t="s">
        <v>273</v>
      </c>
      <c r="M14" s="223" t="s">
        <v>283</v>
      </c>
      <c r="N14" s="8" t="s">
        <v>244</v>
      </c>
      <c r="O14" t="s">
        <v>284</v>
      </c>
    </row>
    <row r="15" spans="2:17">
      <c r="D15" s="43"/>
      <c r="E15" s="4" t="s">
        <v>247</v>
      </c>
      <c r="F15" s="65" t="s">
        <v>238</v>
      </c>
      <c r="G15" s="5" t="s">
        <v>285</v>
      </c>
      <c r="H15" s="1">
        <v>6</v>
      </c>
      <c r="I15" s="1" t="s">
        <v>177</v>
      </c>
      <c r="J15" s="2" t="s">
        <v>241</v>
      </c>
      <c r="K15" s="8" t="s">
        <v>242</v>
      </c>
      <c r="L15" s="8" t="s">
        <v>273</v>
      </c>
      <c r="N15" s="8" t="s">
        <v>244</v>
      </c>
      <c r="O15" t="s">
        <v>286</v>
      </c>
    </row>
    <row r="16" spans="2:17">
      <c r="D16" s="43"/>
      <c r="E16" s="4" t="s">
        <v>287</v>
      </c>
      <c r="F16" s="65" t="s">
        <v>238</v>
      </c>
      <c r="G16" s="4" t="s">
        <v>288</v>
      </c>
      <c r="H16" s="1">
        <v>7</v>
      </c>
      <c r="I16" s="1" t="s">
        <v>177</v>
      </c>
      <c r="J16" s="2" t="s">
        <v>241</v>
      </c>
      <c r="K16" s="8" t="s">
        <v>244</v>
      </c>
      <c r="L16" s="8" t="s">
        <v>273</v>
      </c>
      <c r="M16" s="223" t="s">
        <v>289</v>
      </c>
      <c r="N16" s="8" t="s">
        <v>242</v>
      </c>
      <c r="O16" t="s">
        <v>290</v>
      </c>
    </row>
    <row r="17" spans="4:15">
      <c r="D17" s="43"/>
      <c r="E17" s="4" t="s">
        <v>239</v>
      </c>
      <c r="F17" s="65" t="s">
        <v>238</v>
      </c>
      <c r="G17" s="5" t="s">
        <v>291</v>
      </c>
      <c r="H17" s="1">
        <v>10</v>
      </c>
      <c r="I17" s="1" t="s">
        <v>190</v>
      </c>
      <c r="J17" s="2" t="s">
        <v>241</v>
      </c>
      <c r="K17" s="8" t="s">
        <v>242</v>
      </c>
      <c r="L17" s="8" t="s">
        <v>33</v>
      </c>
      <c r="N17" s="8" t="s">
        <v>262</v>
      </c>
      <c r="O17" t="s">
        <v>292</v>
      </c>
    </row>
    <row r="18" spans="4:15">
      <c r="D18" s="43"/>
      <c r="E18" s="4" t="s">
        <v>258</v>
      </c>
      <c r="F18" s="65" t="s">
        <v>238</v>
      </c>
      <c r="G18" s="5" t="s">
        <v>293</v>
      </c>
      <c r="H18" s="1">
        <v>15</v>
      </c>
      <c r="I18" s="1" t="s">
        <v>177</v>
      </c>
      <c r="J18" s="3" t="s">
        <v>260</v>
      </c>
      <c r="K18" s="8" t="s">
        <v>242</v>
      </c>
      <c r="L18" s="8" t="s">
        <v>294</v>
      </c>
      <c r="M18" s="223" t="s">
        <v>261</v>
      </c>
      <c r="N18" s="8" t="s">
        <v>244</v>
      </c>
      <c r="O18" t="s">
        <v>295</v>
      </c>
    </row>
    <row r="19" spans="4:15">
      <c r="D19" s="43"/>
      <c r="E19" s="4" t="s">
        <v>239</v>
      </c>
      <c r="F19" s="65" t="s">
        <v>238</v>
      </c>
      <c r="G19" s="5" t="s">
        <v>296</v>
      </c>
      <c r="H19" s="1">
        <v>30</v>
      </c>
      <c r="I19" s="1" t="s">
        <v>190</v>
      </c>
      <c r="J19" s="2" t="s">
        <v>241</v>
      </c>
      <c r="K19" s="8" t="s">
        <v>244</v>
      </c>
      <c r="L19" s="8" t="s">
        <v>33</v>
      </c>
      <c r="N19" s="8" t="s">
        <v>242</v>
      </c>
      <c r="O19" t="s">
        <v>297</v>
      </c>
    </row>
    <row r="20" spans="4:15">
      <c r="D20" s="43"/>
      <c r="E20" s="4" t="s">
        <v>287</v>
      </c>
      <c r="F20" s="65" t="s">
        <v>238</v>
      </c>
      <c r="G20" s="4" t="s">
        <v>298</v>
      </c>
      <c r="H20" s="1">
        <v>30</v>
      </c>
      <c r="I20" s="1" t="s">
        <v>177</v>
      </c>
      <c r="J20" s="2" t="s">
        <v>241</v>
      </c>
      <c r="K20" s="8" t="s">
        <v>244</v>
      </c>
      <c r="L20" s="8" t="s">
        <v>273</v>
      </c>
      <c r="M20" s="223" t="s">
        <v>289</v>
      </c>
      <c r="N20" s="8" t="s">
        <v>242</v>
      </c>
      <c r="O20" t="s">
        <v>299</v>
      </c>
    </row>
    <row r="21" spans="4:15">
      <c r="D21" s="43"/>
      <c r="E21" s="4" t="s">
        <v>247</v>
      </c>
      <c r="F21" s="65" t="s">
        <v>238</v>
      </c>
      <c r="G21" s="4" t="s">
        <v>300</v>
      </c>
      <c r="H21" s="1">
        <v>31</v>
      </c>
      <c r="I21" s="1" t="s">
        <v>251</v>
      </c>
      <c r="J21" s="3" t="s">
        <v>260</v>
      </c>
      <c r="K21" s="8" t="s">
        <v>272</v>
      </c>
      <c r="L21" s="8" t="s">
        <v>301</v>
      </c>
      <c r="M21" s="223"/>
      <c r="N21" s="8" t="s">
        <v>244</v>
      </c>
      <c r="O21" t="s">
        <v>302</v>
      </c>
    </row>
    <row r="22" spans="4:15">
      <c r="D22" s="43"/>
      <c r="E22" s="4" t="s">
        <v>276</v>
      </c>
      <c r="F22" s="65" t="s">
        <v>238</v>
      </c>
      <c r="G22" s="5" t="s">
        <v>303</v>
      </c>
      <c r="H22" s="1">
        <v>31</v>
      </c>
      <c r="I22" s="1" t="s">
        <v>177</v>
      </c>
      <c r="J22" s="2" t="s">
        <v>241</v>
      </c>
      <c r="K22" s="8" t="s">
        <v>242</v>
      </c>
      <c r="L22" s="8" t="s">
        <v>278</v>
      </c>
      <c r="M22" t="s">
        <v>279</v>
      </c>
      <c r="N22" s="8" t="s">
        <v>244</v>
      </c>
      <c r="O22" t="s">
        <v>304</v>
      </c>
    </row>
    <row r="23" spans="4:15">
      <c r="D23" s="43"/>
      <c r="E23" s="4" t="s">
        <v>253</v>
      </c>
      <c r="F23" s="65" t="s">
        <v>238</v>
      </c>
      <c r="G23" s="4" t="s">
        <v>305</v>
      </c>
      <c r="H23" s="1">
        <v>31</v>
      </c>
      <c r="I23" s="1" t="s">
        <v>177</v>
      </c>
      <c r="J23" s="2" t="s">
        <v>241</v>
      </c>
      <c r="K23" s="8" t="s">
        <v>244</v>
      </c>
      <c r="L23" s="8" t="s">
        <v>273</v>
      </c>
      <c r="N23" s="8" t="s">
        <v>262</v>
      </c>
      <c r="O23" t="s">
        <v>306</v>
      </c>
    </row>
    <row r="24" spans="4:15">
      <c r="D24" s="43"/>
      <c r="E24" s="4" t="s">
        <v>287</v>
      </c>
      <c r="F24" s="65" t="s">
        <v>238</v>
      </c>
      <c r="G24" s="4" t="s">
        <v>307</v>
      </c>
      <c r="H24" s="1">
        <v>31</v>
      </c>
      <c r="I24" s="1" t="s">
        <v>251</v>
      </c>
      <c r="J24" s="2" t="s">
        <v>241</v>
      </c>
      <c r="K24" s="8" t="s">
        <v>242</v>
      </c>
      <c r="L24" s="8" t="s">
        <v>308</v>
      </c>
      <c r="M24" s="223" t="s">
        <v>289</v>
      </c>
      <c r="N24" s="8" t="s">
        <v>244</v>
      </c>
      <c r="O24" t="s">
        <v>309</v>
      </c>
    </row>
    <row r="25" spans="4:15">
      <c r="D25" s="43"/>
      <c r="E25" s="4" t="s">
        <v>310</v>
      </c>
      <c r="F25" s="65" t="s">
        <v>238</v>
      </c>
      <c r="G25" s="4" t="s">
        <v>311</v>
      </c>
      <c r="H25" s="1">
        <v>32</v>
      </c>
      <c r="I25" s="1" t="s">
        <v>190</v>
      </c>
      <c r="J25" s="2" t="s">
        <v>241</v>
      </c>
      <c r="K25" s="8" t="s">
        <v>242</v>
      </c>
      <c r="L25" s="8" t="s">
        <v>312</v>
      </c>
      <c r="M25" s="223" t="s">
        <v>313</v>
      </c>
      <c r="N25" s="8" t="s">
        <v>244</v>
      </c>
      <c r="O25" t="s">
        <v>280</v>
      </c>
    </row>
    <row r="26" spans="4:15">
      <c r="D26" s="43"/>
      <c r="E26" s="4" t="s">
        <v>314</v>
      </c>
      <c r="F26" s="65" t="s">
        <v>238</v>
      </c>
      <c r="G26" s="5" t="s">
        <v>315</v>
      </c>
      <c r="H26" s="1">
        <v>45</v>
      </c>
      <c r="I26" s="1" t="s">
        <v>190</v>
      </c>
      <c r="J26" s="2" t="s">
        <v>241</v>
      </c>
      <c r="K26" s="8" t="s">
        <v>242</v>
      </c>
      <c r="L26" s="8" t="s">
        <v>312</v>
      </c>
      <c r="M26" t="s">
        <v>316</v>
      </c>
      <c r="N26" s="8" t="s">
        <v>244</v>
      </c>
      <c r="O26" t="s">
        <v>317</v>
      </c>
    </row>
    <row r="27" spans="4:15">
      <c r="D27" s="43"/>
      <c r="E27" s="4" t="s">
        <v>314</v>
      </c>
      <c r="F27" s="65" t="s">
        <v>238</v>
      </c>
      <c r="G27" s="5" t="s">
        <v>318</v>
      </c>
      <c r="H27" s="1">
        <v>60</v>
      </c>
      <c r="I27" s="1" t="s">
        <v>190</v>
      </c>
      <c r="J27" s="2" t="s">
        <v>241</v>
      </c>
      <c r="K27" s="8" t="s">
        <v>242</v>
      </c>
      <c r="L27" s="8" t="s">
        <v>312</v>
      </c>
      <c r="M27" t="s">
        <v>316</v>
      </c>
      <c r="N27" s="8" t="s">
        <v>242</v>
      </c>
      <c r="O27" t="s">
        <v>319</v>
      </c>
    </row>
    <row r="28" spans="4:15">
      <c r="D28" s="43"/>
      <c r="E28" s="4" t="s">
        <v>314</v>
      </c>
      <c r="F28" s="65" t="s">
        <v>238</v>
      </c>
      <c r="G28" s="4" t="s">
        <v>320</v>
      </c>
      <c r="H28" s="1">
        <v>60</v>
      </c>
      <c r="I28" s="1" t="s">
        <v>190</v>
      </c>
      <c r="J28" s="2" t="s">
        <v>241</v>
      </c>
      <c r="K28" s="8" t="s">
        <v>242</v>
      </c>
      <c r="L28" s="8" t="s">
        <v>312</v>
      </c>
      <c r="M28" t="s">
        <v>316</v>
      </c>
      <c r="N28" s="8" t="s">
        <v>244</v>
      </c>
      <c r="O28" t="s">
        <v>321</v>
      </c>
    </row>
    <row r="29" spans="4:15">
      <c r="D29" s="43"/>
      <c r="E29" s="4" t="s">
        <v>322</v>
      </c>
      <c r="F29" s="321" t="s">
        <v>246</v>
      </c>
      <c r="G29" s="5" t="s">
        <v>323</v>
      </c>
      <c r="H29" s="1">
        <v>90</v>
      </c>
      <c r="I29" s="1" t="s">
        <v>190</v>
      </c>
      <c r="J29" s="2" t="s">
        <v>241</v>
      </c>
      <c r="K29" s="8" t="s">
        <v>242</v>
      </c>
      <c r="L29" s="8" t="s">
        <v>308</v>
      </c>
      <c r="M29" s="223" t="s">
        <v>324</v>
      </c>
      <c r="N29" s="8" t="s">
        <v>244</v>
      </c>
      <c r="O29" t="s">
        <v>325</v>
      </c>
    </row>
    <row r="30" spans="4:15">
      <c r="D30" s="43"/>
      <c r="E30" s="4" t="s">
        <v>326</v>
      </c>
      <c r="F30" s="65" t="s">
        <v>238</v>
      </c>
      <c r="G30" s="68" t="s">
        <v>327</v>
      </c>
      <c r="H30" s="1">
        <v>90</v>
      </c>
      <c r="I30" s="1" t="s">
        <v>190</v>
      </c>
      <c r="J30" s="2" t="s">
        <v>241</v>
      </c>
      <c r="K30" s="8" t="s">
        <v>242</v>
      </c>
      <c r="L30" s="8" t="s">
        <v>312</v>
      </c>
      <c r="M30" s="223" t="s">
        <v>328</v>
      </c>
      <c r="N30" s="8" t="s">
        <v>244</v>
      </c>
      <c r="O30" t="s">
        <v>329</v>
      </c>
    </row>
    <row r="31" spans="4:15">
      <c r="D31" s="43"/>
      <c r="E31" s="4" t="s">
        <v>330</v>
      </c>
      <c r="F31" s="65" t="s">
        <v>238</v>
      </c>
      <c r="G31" s="5" t="s">
        <v>331</v>
      </c>
      <c r="H31" s="1">
        <v>90</v>
      </c>
      <c r="I31" s="1" t="s">
        <v>190</v>
      </c>
      <c r="J31" s="2" t="s">
        <v>241</v>
      </c>
      <c r="K31" s="8" t="s">
        <v>242</v>
      </c>
      <c r="L31" s="8" t="s">
        <v>332</v>
      </c>
      <c r="M31" s="223" t="s">
        <v>289</v>
      </c>
      <c r="N31" s="8" t="s">
        <v>242</v>
      </c>
      <c r="O31" t="s">
        <v>333</v>
      </c>
    </row>
    <row r="32" spans="4:15">
      <c r="D32" s="43"/>
      <c r="E32" s="4" t="s">
        <v>219</v>
      </c>
      <c r="F32" s="65" t="s">
        <v>238</v>
      </c>
      <c r="G32" s="5" t="s">
        <v>334</v>
      </c>
      <c r="H32" s="1">
        <v>90</v>
      </c>
      <c r="I32" s="1" t="s">
        <v>190</v>
      </c>
      <c r="J32" s="2" t="s">
        <v>241</v>
      </c>
      <c r="K32" s="8" t="s">
        <v>242</v>
      </c>
      <c r="L32" s="8" t="s">
        <v>301</v>
      </c>
      <c r="M32" s="223" t="s">
        <v>335</v>
      </c>
      <c r="N32" s="8" t="s">
        <v>244</v>
      </c>
      <c r="O32" t="s">
        <v>336</v>
      </c>
    </row>
    <row r="33" spans="4:15">
      <c r="D33" s="43"/>
      <c r="E33" s="4" t="s">
        <v>322</v>
      </c>
      <c r="F33" s="65" t="s">
        <v>238</v>
      </c>
      <c r="G33" s="5" t="s">
        <v>337</v>
      </c>
      <c r="H33" s="1">
        <v>120</v>
      </c>
      <c r="I33" s="1" t="s">
        <v>184</v>
      </c>
      <c r="J33" s="2" t="s">
        <v>241</v>
      </c>
      <c r="K33" s="8" t="s">
        <v>242</v>
      </c>
      <c r="L33" s="8" t="s">
        <v>338</v>
      </c>
      <c r="M33" s="223" t="s">
        <v>324</v>
      </c>
      <c r="N33" s="8" t="s">
        <v>242</v>
      </c>
      <c r="O33" t="s">
        <v>339</v>
      </c>
    </row>
    <row r="34" spans="4:15">
      <c r="D34" s="43"/>
      <c r="E34" s="4" t="s">
        <v>258</v>
      </c>
      <c r="F34" s="65" t="s">
        <v>238</v>
      </c>
      <c r="G34" t="s">
        <v>340</v>
      </c>
      <c r="H34" s="1">
        <v>90</v>
      </c>
      <c r="I34" s="1" t="s">
        <v>190</v>
      </c>
      <c r="J34" s="3" t="s">
        <v>260</v>
      </c>
      <c r="K34" s="8" t="s">
        <v>242</v>
      </c>
      <c r="L34" s="8" t="s">
        <v>312</v>
      </c>
      <c r="M34" s="223" t="s">
        <v>261</v>
      </c>
      <c r="N34" s="8" t="s">
        <v>244</v>
      </c>
      <c r="O34" t="s">
        <v>341</v>
      </c>
    </row>
    <row r="35" spans="4:15">
      <c r="D35" s="43"/>
      <c r="E35" s="4" t="s">
        <v>258</v>
      </c>
      <c r="F35" s="65" t="s">
        <v>238</v>
      </c>
      <c r="G35" t="s">
        <v>342</v>
      </c>
      <c r="H35" s="1">
        <v>180</v>
      </c>
      <c r="I35" s="1" t="s">
        <v>184</v>
      </c>
      <c r="J35" s="3" t="s">
        <v>260</v>
      </c>
      <c r="K35" s="8" t="s">
        <v>244</v>
      </c>
      <c r="L35" s="8" t="s">
        <v>312</v>
      </c>
      <c r="M35" s="223" t="s">
        <v>261</v>
      </c>
      <c r="N35" s="8" t="s">
        <v>244</v>
      </c>
      <c r="O35" t="s">
        <v>343</v>
      </c>
    </row>
    <row r="36" spans="4:15">
      <c r="D36" s="43"/>
      <c r="E36" s="4" t="s">
        <v>326</v>
      </c>
      <c r="F36" s="65" t="s">
        <v>238</v>
      </c>
      <c r="G36" s="5" t="s">
        <v>344</v>
      </c>
      <c r="H36" s="1">
        <v>360</v>
      </c>
      <c r="I36" s="1" t="s">
        <v>184</v>
      </c>
      <c r="J36" s="2" t="s">
        <v>241</v>
      </c>
      <c r="K36" s="8" t="s">
        <v>242</v>
      </c>
      <c r="L36" s="8" t="s">
        <v>345</v>
      </c>
      <c r="M36" s="223" t="s">
        <v>328</v>
      </c>
      <c r="N36" s="8" t="s">
        <v>262</v>
      </c>
      <c r="O36" t="s">
        <v>346</v>
      </c>
    </row>
    <row r="37" spans="4:15">
      <c r="D37" s="43"/>
      <c r="E37" s="4" t="s">
        <v>182</v>
      </c>
      <c r="F37" s="65" t="s">
        <v>238</v>
      </c>
      <c r="G37" s="5" t="s">
        <v>347</v>
      </c>
      <c r="H37" s="1">
        <v>360</v>
      </c>
      <c r="I37" s="1" t="s">
        <v>184</v>
      </c>
      <c r="J37" s="2" t="s">
        <v>241</v>
      </c>
      <c r="K37" s="8" t="s">
        <v>242</v>
      </c>
      <c r="L37" s="8" t="s">
        <v>345</v>
      </c>
      <c r="M37" t="s">
        <v>348</v>
      </c>
      <c r="N37" s="8" t="s">
        <v>242</v>
      </c>
      <c r="O37" t="s">
        <v>349</v>
      </c>
    </row>
    <row r="38" spans="4:15">
      <c r="D38" s="43"/>
      <c r="E38" s="4" t="s">
        <v>350</v>
      </c>
      <c r="F38" s="66" t="s">
        <v>16</v>
      </c>
      <c r="G38" s="5" t="s">
        <v>351</v>
      </c>
      <c r="H38" s="1">
        <v>32</v>
      </c>
      <c r="I38" s="1" t="s">
        <v>190</v>
      </c>
      <c r="J38" s="2" t="s">
        <v>241</v>
      </c>
      <c r="K38" s="8" t="s">
        <v>242</v>
      </c>
      <c r="L38" s="8" t="s">
        <v>352</v>
      </c>
      <c r="M38" s="223" t="s">
        <v>353</v>
      </c>
      <c r="N38" s="8" t="s">
        <v>262</v>
      </c>
      <c r="O38" t="s">
        <v>354</v>
      </c>
    </row>
    <row r="39" spans="4:15">
      <c r="D39" s="43"/>
      <c r="E39" s="4" t="s">
        <v>355</v>
      </c>
      <c r="F39" s="66" t="s">
        <v>16</v>
      </c>
      <c r="G39" s="5" t="s">
        <v>356</v>
      </c>
      <c r="H39" s="1">
        <v>32</v>
      </c>
      <c r="I39" s="1" t="s">
        <v>184</v>
      </c>
      <c r="J39" s="2" t="s">
        <v>241</v>
      </c>
      <c r="K39" s="8" t="s">
        <v>242</v>
      </c>
      <c r="L39" s="8" t="s">
        <v>357</v>
      </c>
      <c r="M39" s="223" t="s">
        <v>358</v>
      </c>
      <c r="N39" s="8" t="s">
        <v>244</v>
      </c>
      <c r="O39" t="s">
        <v>359</v>
      </c>
    </row>
    <row r="40" spans="4:15">
      <c r="D40" s="43"/>
      <c r="E40" s="4" t="s">
        <v>360</v>
      </c>
      <c r="F40" s="66" t="s">
        <v>16</v>
      </c>
      <c r="G40" s="5" t="s">
        <v>361</v>
      </c>
      <c r="H40" s="1">
        <v>32</v>
      </c>
      <c r="I40" s="1" t="s">
        <v>177</v>
      </c>
      <c r="J40" s="2" t="s">
        <v>241</v>
      </c>
      <c r="K40" s="8" t="s">
        <v>242</v>
      </c>
      <c r="L40" s="8" t="s">
        <v>352</v>
      </c>
      <c r="M40" s="223" t="s">
        <v>362</v>
      </c>
      <c r="N40" s="8" t="s">
        <v>244</v>
      </c>
      <c r="O40" t="s">
        <v>363</v>
      </c>
    </row>
    <row r="41" spans="4:15" ht="15" customHeight="1">
      <c r="D41" s="43"/>
      <c r="E41" s="4" t="s">
        <v>276</v>
      </c>
      <c r="F41" s="66" t="s">
        <v>16</v>
      </c>
      <c r="G41" t="s">
        <v>364</v>
      </c>
      <c r="H41" s="1">
        <v>32</v>
      </c>
      <c r="I41" s="1" t="s">
        <v>190</v>
      </c>
      <c r="J41" s="3" t="s">
        <v>260</v>
      </c>
      <c r="K41" s="8" t="s">
        <v>244</v>
      </c>
      <c r="L41" s="8" t="s">
        <v>357</v>
      </c>
      <c r="M41" t="s">
        <v>279</v>
      </c>
      <c r="N41" s="8" t="s">
        <v>244</v>
      </c>
      <c r="O41" t="s">
        <v>365</v>
      </c>
    </row>
    <row r="42" spans="4:15" ht="15" customHeight="1">
      <c r="D42" s="43"/>
      <c r="E42" s="4" t="s">
        <v>366</v>
      </c>
      <c r="F42" s="66" t="s">
        <v>16</v>
      </c>
      <c r="G42" s="4" t="s">
        <v>367</v>
      </c>
      <c r="H42" s="1">
        <v>60</v>
      </c>
      <c r="I42" s="1" t="s">
        <v>190</v>
      </c>
      <c r="J42" s="2" t="s">
        <v>241</v>
      </c>
      <c r="K42" s="8" t="s">
        <v>242</v>
      </c>
      <c r="L42" s="8" t="s">
        <v>352</v>
      </c>
      <c r="M42" s="223" t="s">
        <v>368</v>
      </c>
      <c r="N42" s="8" t="s">
        <v>244</v>
      </c>
      <c r="O42" t="s">
        <v>369</v>
      </c>
    </row>
    <row r="43" spans="4:15" ht="15" customHeight="1">
      <c r="D43" s="43"/>
      <c r="E43" s="4" t="s">
        <v>360</v>
      </c>
      <c r="F43" s="66" t="s">
        <v>16</v>
      </c>
      <c r="G43" s="4" t="s">
        <v>370</v>
      </c>
      <c r="H43" s="1">
        <v>32</v>
      </c>
      <c r="I43" s="1" t="s">
        <v>190</v>
      </c>
      <c r="J43" s="2" t="s">
        <v>241</v>
      </c>
      <c r="K43" s="8" t="s">
        <v>244</v>
      </c>
      <c r="L43" s="8" t="s">
        <v>357</v>
      </c>
      <c r="M43" s="223" t="s">
        <v>362</v>
      </c>
      <c r="N43" s="8" t="s">
        <v>262</v>
      </c>
      <c r="O43" t="s">
        <v>371</v>
      </c>
    </row>
    <row r="44" spans="4:15" ht="15" customHeight="1">
      <c r="D44" s="43"/>
      <c r="E44" s="4" t="s">
        <v>372</v>
      </c>
      <c r="F44" s="66" t="s">
        <v>16</v>
      </c>
      <c r="G44" s="4" t="s">
        <v>373</v>
      </c>
      <c r="H44" s="1">
        <v>32</v>
      </c>
      <c r="I44" s="1" t="s">
        <v>184</v>
      </c>
      <c r="J44" s="2" t="s">
        <v>241</v>
      </c>
      <c r="K44" s="8" t="s">
        <v>272</v>
      </c>
      <c r="L44" s="8" t="s">
        <v>352</v>
      </c>
      <c r="M44" s="223" t="s">
        <v>374</v>
      </c>
      <c r="N44" s="8" t="s">
        <v>244</v>
      </c>
      <c r="O44" t="s">
        <v>375</v>
      </c>
    </row>
    <row r="45" spans="4:15" ht="15" customHeight="1">
      <c r="D45" s="43"/>
      <c r="E45" s="4" t="s">
        <v>376</v>
      </c>
      <c r="F45" s="66" t="s">
        <v>16</v>
      </c>
      <c r="G45" s="4" t="s">
        <v>377</v>
      </c>
      <c r="H45" s="1">
        <v>32</v>
      </c>
      <c r="I45" s="1" t="s">
        <v>177</v>
      </c>
      <c r="J45" s="2" t="s">
        <v>241</v>
      </c>
      <c r="K45" s="8" t="s">
        <v>244</v>
      </c>
      <c r="L45" s="8" t="s">
        <v>378</v>
      </c>
      <c r="M45" t="s">
        <v>379</v>
      </c>
      <c r="N45" s="8" t="s">
        <v>244</v>
      </c>
      <c r="O45" t="s">
        <v>380</v>
      </c>
    </row>
    <row r="46" spans="4:15" ht="15" customHeight="1">
      <c r="E46" s="4" t="s">
        <v>310</v>
      </c>
      <c r="F46" s="66" t="s">
        <v>16</v>
      </c>
      <c r="G46" t="s">
        <v>381</v>
      </c>
      <c r="H46" s="1">
        <v>30</v>
      </c>
      <c r="I46" s="1" t="s">
        <v>177</v>
      </c>
      <c r="J46" s="2" t="s">
        <v>241</v>
      </c>
      <c r="K46" s="8" t="s">
        <v>242</v>
      </c>
      <c r="L46" s="8" t="s">
        <v>382</v>
      </c>
      <c r="M46" s="223" t="s">
        <v>313</v>
      </c>
      <c r="N46" s="8" t="s">
        <v>262</v>
      </c>
      <c r="O46" t="s">
        <v>383</v>
      </c>
    </row>
    <row r="47" spans="4:15" ht="15" customHeight="1">
      <c r="E47" s="322" t="s">
        <v>384</v>
      </c>
      <c r="F47" s="67" t="s">
        <v>74</v>
      </c>
      <c r="G47" t="s">
        <v>385</v>
      </c>
      <c r="H47" s="1">
        <v>5</v>
      </c>
      <c r="I47" s="1" t="s">
        <v>184</v>
      </c>
      <c r="J47" s="2" t="s">
        <v>241</v>
      </c>
      <c r="K47" s="8" t="s">
        <v>242</v>
      </c>
      <c r="L47" s="8" t="s">
        <v>386</v>
      </c>
      <c r="N47" s="8" t="s">
        <v>242</v>
      </c>
      <c r="O47" t="s">
        <v>387</v>
      </c>
    </row>
    <row r="48" spans="4:15" ht="15" customHeight="1">
      <c r="G48"/>
    </row>
    <row r="49" spans="5:13" ht="15" customHeight="1">
      <c r="E49" s="415" t="s">
        <v>388</v>
      </c>
      <c r="F49" s="415"/>
      <c r="G49" s="415"/>
      <c r="M49" s="223"/>
    </row>
    <row r="50" spans="5:13" ht="15" customHeight="1">
      <c r="E50" s="64" t="s">
        <v>389</v>
      </c>
      <c r="F50" s="64" t="s">
        <v>390</v>
      </c>
      <c r="G50" s="64" t="s">
        <v>236</v>
      </c>
    </row>
    <row r="51" spans="5:13" ht="15" customHeight="1">
      <c r="E51" s="4" t="s">
        <v>391</v>
      </c>
      <c r="F51" s="1" t="s">
        <v>392</v>
      </c>
      <c r="G51" s="412" t="s">
        <v>393</v>
      </c>
    </row>
    <row r="52" spans="5:13" ht="15" customHeight="1">
      <c r="E52" s="4" t="s">
        <v>394</v>
      </c>
      <c r="F52" s="1" t="s">
        <v>395</v>
      </c>
      <c r="G52" s="412" t="s">
        <v>396</v>
      </c>
    </row>
    <row r="53" spans="5:13" ht="15" customHeight="1">
      <c r="E53" s="4" t="s">
        <v>397</v>
      </c>
      <c r="F53" s="1" t="s">
        <v>398</v>
      </c>
      <c r="G53" s="412" t="s">
        <v>399</v>
      </c>
    </row>
    <row r="54" spans="5:13" ht="15" customHeight="1">
      <c r="E54" s="4" t="s">
        <v>400</v>
      </c>
      <c r="F54" s="1" t="s">
        <v>401</v>
      </c>
      <c r="G54" s="412" t="s">
        <v>402</v>
      </c>
    </row>
    <row r="55" spans="5:13" ht="15" customHeight="1">
      <c r="E55" s="4" t="s">
        <v>403</v>
      </c>
      <c r="F55" s="1" t="s">
        <v>404</v>
      </c>
      <c r="G55" s="412" t="s">
        <v>405</v>
      </c>
    </row>
    <row r="58" spans="5:13" ht="15" customHeight="1">
      <c r="E58" s="416" t="s">
        <v>406</v>
      </c>
      <c r="F58" s="416"/>
    </row>
    <row r="59" spans="5:13" ht="15" customHeight="1">
      <c r="E59" s="64" t="s">
        <v>389</v>
      </c>
      <c r="F59" s="64" t="s">
        <v>230</v>
      </c>
    </row>
    <row r="60" spans="5:13" ht="15" customHeight="1">
      <c r="E60" s="4" t="s">
        <v>407</v>
      </c>
      <c r="F60" s="413" t="s">
        <v>408</v>
      </c>
    </row>
    <row r="61" spans="5:13" ht="15" customHeight="1">
      <c r="E61" s="4" t="s">
        <v>372</v>
      </c>
      <c r="F61" s="414" t="s">
        <v>409</v>
      </c>
    </row>
  </sheetData>
  <autoFilter ref="E3:N47" xr:uid="{13342BD7-0F38-41DE-92A1-0EFF0BE1EA7A}"/>
  <mergeCells count="2">
    <mergeCell ref="E49:G49"/>
    <mergeCell ref="E58:F58"/>
  </mergeCells>
  <hyperlinks>
    <hyperlink ref="M43" r:id="rId1" xr:uid="{9CECD3F0-7FA9-440A-A88F-726DCAC7ACCA}"/>
    <hyperlink ref="M40" r:id="rId2" xr:uid="{4129A77E-B29A-4B22-8D03-55364A04B54A}"/>
    <hyperlink ref="M38" r:id="rId3" xr:uid="{15C58167-BA55-4B84-AACC-B22915306775}"/>
    <hyperlink ref="M39" r:id="rId4" xr:uid="{F9244B17-4592-4AF8-9B75-391568175E46}"/>
    <hyperlink ref="M46" r:id="rId5" xr:uid="{8F615D78-08FA-47FC-866E-7873C7E57E93}"/>
    <hyperlink ref="M42" r:id="rId6" xr:uid="{0740B7DD-12C7-4C9A-A5E4-0151954029EE}"/>
    <hyperlink ref="M29" r:id="rId7" xr:uid="{2A73EDAB-77BE-4673-8300-0D36934DFD05}"/>
    <hyperlink ref="M33" r:id="rId8" xr:uid="{D36C6CA2-B2B3-4F4C-BE76-C859AB55C7B4}"/>
    <hyperlink ref="M30" r:id="rId9" xr:uid="{5095E75B-D965-4BFC-8737-9AF2AAA8925E}"/>
    <hyperlink ref="M32" r:id="rId10" xr:uid="{9139B0AA-4199-48DF-8164-B61ABB3E8AFF}"/>
    <hyperlink ref="M16" r:id="rId11" xr:uid="{68D594F8-2F77-4862-8A4B-55DCBE482870}"/>
    <hyperlink ref="M20" r:id="rId12" xr:uid="{651EBF77-C0A3-410E-9508-DED69F8E0FEC}"/>
    <hyperlink ref="M24" r:id="rId13" xr:uid="{C280B963-0784-4049-AC86-40ED8CE36F82}"/>
    <hyperlink ref="M31" r:id="rId14" xr:uid="{0408FD8F-B9B0-4B89-A24D-BF336BC18A73}"/>
    <hyperlink ref="M36" r:id="rId15" xr:uid="{39B03F24-BA48-4BE8-9A82-09CC3E289DF0}"/>
    <hyperlink ref="M25" r:id="rId16" xr:uid="{56D56AB6-54CF-416E-A28F-29E9631425D2}"/>
    <hyperlink ref="G51" r:id="rId17" xr:uid="{9CEED59C-626B-46C7-99D8-684D04BDA834}"/>
    <hyperlink ref="G52" r:id="rId18" xr:uid="{2E841199-F6F9-4E17-844D-590D2FF58DA5}"/>
    <hyperlink ref="G53" r:id="rId19" xr:uid="{16B7E3B3-BD29-4DC4-83CA-393CB28539B6}"/>
    <hyperlink ref="G54" r:id="rId20" xr:uid="{9E097789-888B-4CB4-8C8F-5346FAEBFB0C}"/>
    <hyperlink ref="G55" r:id="rId21" xr:uid="{30A135C1-B84E-4862-BE89-3BA99E1E7F5D}"/>
    <hyperlink ref="M44" r:id="rId22" xr:uid="{265A6C84-CA07-49AC-8D21-5B2AA3D7B809}"/>
    <hyperlink ref="M34" r:id="rId23" xr:uid="{FA2436FC-DB10-4A61-B5EF-42A87595F647}"/>
    <hyperlink ref="M35" r:id="rId24" xr:uid="{FE785FE8-FD1A-4D36-873C-D8E264FF1053}"/>
    <hyperlink ref="M18" r:id="rId25" xr:uid="{1DA33E5C-B904-44A2-8C3A-CAEB3B2CD420}"/>
    <hyperlink ref="M9" r:id="rId26" xr:uid="{D2FC6139-6D22-4A4D-9CDA-3D00A3FB4076}"/>
    <hyperlink ref="M10" r:id="rId27" xr:uid="{842429C8-46B4-4A43-A588-5711023AFCA5}"/>
    <hyperlink ref="M14" r:id="rId28" xr:uid="{4C5612C7-13F4-4DD5-A5BA-390B66DF99EB}"/>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38086-9A89-4BFC-A812-CA70E3F64551}">
  <sheetPr>
    <tabColor theme="9" tint="-0.249977111117893"/>
  </sheetPr>
  <dimension ref="B2:L35"/>
  <sheetViews>
    <sheetView showGridLines="0" topLeftCell="A16" workbookViewId="0">
      <selection activeCell="D36" sqref="D36"/>
    </sheetView>
  </sheetViews>
  <sheetFormatPr defaultRowHeight="15"/>
  <cols>
    <col min="2" max="2" width="17.28515625" customWidth="1"/>
    <col min="3" max="3" width="13.28515625" bestFit="1" customWidth="1"/>
    <col min="4" max="4" width="34.140625" bestFit="1" customWidth="1"/>
    <col min="5" max="6" width="12.7109375" bestFit="1" customWidth="1"/>
    <col min="7" max="7" width="11.85546875" customWidth="1"/>
    <col min="8" max="8" width="11.5703125" bestFit="1" customWidth="1"/>
    <col min="9" max="9" width="18.42578125" bestFit="1" customWidth="1"/>
    <col min="10" max="10" width="33.5703125" bestFit="1" customWidth="1"/>
    <col min="11" max="11" width="4.7109375" bestFit="1" customWidth="1"/>
    <col min="12" max="12" width="19.42578125" bestFit="1" customWidth="1"/>
    <col min="13" max="13" width="11.7109375" bestFit="1" customWidth="1"/>
    <col min="14" max="14" width="9.7109375" bestFit="1" customWidth="1"/>
    <col min="15" max="15" width="40" bestFit="1" customWidth="1"/>
    <col min="16" max="16" width="3.28515625" bestFit="1" customWidth="1"/>
    <col min="17" max="17" width="12.7109375" bestFit="1" customWidth="1"/>
    <col min="18" max="18" width="10" bestFit="1" customWidth="1"/>
    <col min="19" max="19" width="4.7109375" bestFit="1" customWidth="1"/>
    <col min="20" max="20" width="18.42578125" bestFit="1" customWidth="1"/>
    <col min="21" max="21" width="33.5703125" bestFit="1" customWidth="1"/>
    <col min="22" max="22" width="4.7109375" bestFit="1" customWidth="1"/>
  </cols>
  <sheetData>
    <row r="2" spans="2:12">
      <c r="B2" s="330" t="s">
        <v>410</v>
      </c>
    </row>
    <row r="3" spans="2:12">
      <c r="B3" s="203" t="s">
        <v>411</v>
      </c>
      <c r="C3" s="331"/>
      <c r="D3" s="204"/>
    </row>
    <row r="4" spans="2:12">
      <c r="B4" s="207" t="s">
        <v>412</v>
      </c>
      <c r="D4" s="208"/>
    </row>
    <row r="5" spans="2:12">
      <c r="B5" s="207" t="s">
        <v>413</v>
      </c>
      <c r="D5" s="208"/>
    </row>
    <row r="6" spans="2:12">
      <c r="B6" s="207" t="s">
        <v>414</v>
      </c>
      <c r="D6" s="208"/>
    </row>
    <row r="7" spans="2:12">
      <c r="B7" s="207" t="s">
        <v>415</v>
      </c>
      <c r="D7" s="208"/>
    </row>
    <row r="8" spans="2:12">
      <c r="B8" s="207" t="s">
        <v>416</v>
      </c>
      <c r="D8" s="208"/>
    </row>
    <row r="9" spans="2:12">
      <c r="B9" s="207" t="s">
        <v>417</v>
      </c>
      <c r="D9" s="208"/>
    </row>
    <row r="10" spans="2:12">
      <c r="B10" s="207" t="s">
        <v>418</v>
      </c>
      <c r="D10" s="208"/>
    </row>
    <row r="11" spans="2:12">
      <c r="B11" s="207" t="s">
        <v>419</v>
      </c>
      <c r="D11" s="208"/>
    </row>
    <row r="12" spans="2:12">
      <c r="B12" s="207" t="s">
        <v>420</v>
      </c>
      <c r="D12" s="208"/>
    </row>
    <row r="13" spans="2:12">
      <c r="B13" s="215" t="s">
        <v>421</v>
      </c>
      <c r="C13" s="255"/>
      <c r="D13" s="216"/>
    </row>
    <row r="15" spans="2:12">
      <c r="B15" s="330" t="s">
        <v>422</v>
      </c>
    </row>
    <row r="16" spans="2:12">
      <c r="B16" s="332" t="s">
        <v>228</v>
      </c>
      <c r="C16" s="333" t="s">
        <v>229</v>
      </c>
      <c r="D16" s="333" t="s">
        <v>230</v>
      </c>
      <c r="E16" s="333" t="s">
        <v>231</v>
      </c>
      <c r="F16" s="333" t="s">
        <v>232</v>
      </c>
      <c r="G16" s="334" t="s">
        <v>233</v>
      </c>
      <c r="H16" s="334" t="s">
        <v>234</v>
      </c>
      <c r="I16" s="334" t="s">
        <v>235</v>
      </c>
      <c r="J16" s="334" t="s">
        <v>236</v>
      </c>
      <c r="K16" s="334" t="s">
        <v>186</v>
      </c>
      <c r="L16" s="329" t="s">
        <v>237</v>
      </c>
    </row>
    <row r="17" spans="2:12">
      <c r="B17" s="335" t="s">
        <v>247</v>
      </c>
      <c r="C17" s="65" t="s">
        <v>238</v>
      </c>
      <c r="D17" s="5" t="s">
        <v>248</v>
      </c>
      <c r="E17" s="1">
        <v>0</v>
      </c>
      <c r="F17" s="1" t="s">
        <v>177</v>
      </c>
      <c r="G17" s="2" t="s">
        <v>241</v>
      </c>
      <c r="H17" s="8" t="s">
        <v>242</v>
      </c>
      <c r="I17" s="351" t="s">
        <v>243</v>
      </c>
      <c r="K17" s="8" t="s">
        <v>244</v>
      </c>
      <c r="L17" s="208" t="s">
        <v>249</v>
      </c>
    </row>
    <row r="18" spans="2:12">
      <c r="B18" s="335" t="s">
        <v>423</v>
      </c>
      <c r="C18" s="65" t="s">
        <v>238</v>
      </c>
      <c r="D18" s="5" t="s">
        <v>250</v>
      </c>
      <c r="E18" s="1">
        <v>0</v>
      </c>
      <c r="F18" s="1" t="s">
        <v>251</v>
      </c>
      <c r="G18" s="2" t="s">
        <v>241</v>
      </c>
      <c r="H18" s="8" t="s">
        <v>242</v>
      </c>
      <c r="I18" s="351" t="s">
        <v>243</v>
      </c>
      <c r="K18" s="8" t="s">
        <v>244</v>
      </c>
      <c r="L18" s="208" t="s">
        <v>252</v>
      </c>
    </row>
    <row r="19" spans="2:12">
      <c r="B19" s="335" t="s">
        <v>253</v>
      </c>
      <c r="C19" s="65" t="s">
        <v>238</v>
      </c>
      <c r="D19" s="5" t="s">
        <v>254</v>
      </c>
      <c r="E19" s="1">
        <v>0</v>
      </c>
      <c r="F19" s="1" t="s">
        <v>177</v>
      </c>
      <c r="G19" s="2" t="s">
        <v>241</v>
      </c>
      <c r="H19" s="8" t="s">
        <v>242</v>
      </c>
      <c r="I19" s="8" t="s">
        <v>243</v>
      </c>
      <c r="K19" s="8" t="s">
        <v>244</v>
      </c>
      <c r="L19" s="208" t="s">
        <v>255</v>
      </c>
    </row>
    <row r="20" spans="2:12">
      <c r="B20" s="335" t="s">
        <v>253</v>
      </c>
      <c r="C20" s="65" t="s">
        <v>238</v>
      </c>
      <c r="D20" s="5" t="s">
        <v>256</v>
      </c>
      <c r="E20" s="1">
        <v>0</v>
      </c>
      <c r="F20" s="1" t="s">
        <v>251</v>
      </c>
      <c r="G20" s="2" t="s">
        <v>241</v>
      </c>
      <c r="H20" s="8" t="s">
        <v>242</v>
      </c>
      <c r="I20" s="351" t="s">
        <v>243</v>
      </c>
      <c r="K20" s="8" t="s">
        <v>244</v>
      </c>
      <c r="L20" s="208" t="s">
        <v>257</v>
      </c>
    </row>
    <row r="21" spans="2:12">
      <c r="B21" s="335" t="s">
        <v>258</v>
      </c>
      <c r="C21" s="65" t="s">
        <v>238</v>
      </c>
      <c r="D21" s="5" t="s">
        <v>259</v>
      </c>
      <c r="E21" s="1">
        <v>0</v>
      </c>
      <c r="F21" s="1" t="s">
        <v>251</v>
      </c>
      <c r="G21" s="2" t="s">
        <v>241</v>
      </c>
      <c r="H21" s="8" t="s">
        <v>242</v>
      </c>
      <c r="I21" s="8" t="s">
        <v>294</v>
      </c>
      <c r="J21" t="s">
        <v>424</v>
      </c>
      <c r="K21" s="8" t="s">
        <v>262</v>
      </c>
      <c r="L21" s="208" t="s">
        <v>263</v>
      </c>
    </row>
    <row r="22" spans="2:12">
      <c r="B22" s="335" t="s">
        <v>258</v>
      </c>
      <c r="C22" s="65" t="s">
        <v>238</v>
      </c>
      <c r="D22" s="4" t="s">
        <v>264</v>
      </c>
      <c r="E22" s="1">
        <v>0</v>
      </c>
      <c r="F22" s="1" t="s">
        <v>251</v>
      </c>
      <c r="G22" s="2" t="s">
        <v>241</v>
      </c>
      <c r="H22" s="8" t="s">
        <v>242</v>
      </c>
      <c r="I22" s="8" t="s">
        <v>243</v>
      </c>
      <c r="J22" t="s">
        <v>424</v>
      </c>
      <c r="K22" s="8" t="s">
        <v>262</v>
      </c>
      <c r="L22" s="208" t="s">
        <v>265</v>
      </c>
    </row>
    <row r="23" spans="2:12">
      <c r="B23" s="335" t="s">
        <v>186</v>
      </c>
      <c r="C23" s="65" t="s">
        <v>238</v>
      </c>
      <c r="D23" s="4" t="s">
        <v>266</v>
      </c>
      <c r="E23" s="1">
        <v>0</v>
      </c>
      <c r="F23" s="1" t="s">
        <v>177</v>
      </c>
      <c r="G23" s="2" t="s">
        <v>241</v>
      </c>
      <c r="H23" s="8" t="s">
        <v>242</v>
      </c>
      <c r="I23" s="8" t="s">
        <v>243</v>
      </c>
      <c r="J23" t="s">
        <v>267</v>
      </c>
      <c r="K23" s="8" t="s">
        <v>262</v>
      </c>
      <c r="L23" s="208" t="s">
        <v>268</v>
      </c>
    </row>
    <row r="24" spans="2:12">
      <c r="B24" s="335" t="s">
        <v>219</v>
      </c>
      <c r="C24" s="65" t="s">
        <v>238</v>
      </c>
      <c r="D24" s="4" t="s">
        <v>425</v>
      </c>
      <c r="E24" s="1">
        <v>1</v>
      </c>
      <c r="F24" s="1" t="s">
        <v>177</v>
      </c>
      <c r="G24" s="2" t="s">
        <v>241</v>
      </c>
      <c r="H24" s="8" t="s">
        <v>242</v>
      </c>
      <c r="I24" s="8" t="s">
        <v>243</v>
      </c>
      <c r="J24" s="352" t="s">
        <v>335</v>
      </c>
      <c r="K24" s="8" t="s">
        <v>262</v>
      </c>
      <c r="L24" s="208" t="s">
        <v>426</v>
      </c>
    </row>
    <row r="25" spans="2:12">
      <c r="B25" s="335" t="s">
        <v>247</v>
      </c>
      <c r="C25" s="65" t="s">
        <v>238</v>
      </c>
      <c r="D25" s="5" t="s">
        <v>285</v>
      </c>
      <c r="E25" s="1">
        <v>6</v>
      </c>
      <c r="F25" s="1" t="s">
        <v>177</v>
      </c>
      <c r="G25" s="2" t="s">
        <v>241</v>
      </c>
      <c r="H25" s="8" t="s">
        <v>242</v>
      </c>
      <c r="I25" s="8" t="s">
        <v>273</v>
      </c>
      <c r="K25" s="8" t="s">
        <v>244</v>
      </c>
      <c r="L25" s="208" t="s">
        <v>286</v>
      </c>
    </row>
    <row r="26" spans="2:12">
      <c r="B26" s="335" t="s">
        <v>287</v>
      </c>
      <c r="C26" s="65" t="s">
        <v>238</v>
      </c>
      <c r="D26" s="4" t="s">
        <v>288</v>
      </c>
      <c r="E26" s="1">
        <v>7</v>
      </c>
      <c r="F26" s="1" t="s">
        <v>177</v>
      </c>
      <c r="G26" s="2" t="s">
        <v>241</v>
      </c>
      <c r="H26" s="8" t="s">
        <v>244</v>
      </c>
      <c r="I26" s="8" t="s">
        <v>273</v>
      </c>
      <c r="J26" s="352" t="s">
        <v>289</v>
      </c>
      <c r="K26" s="8" t="s">
        <v>242</v>
      </c>
      <c r="L26" s="208" t="s">
        <v>290</v>
      </c>
    </row>
    <row r="27" spans="2:12">
      <c r="B27" s="335" t="s">
        <v>239</v>
      </c>
      <c r="C27" s="65" t="s">
        <v>238</v>
      </c>
      <c r="D27" s="5" t="s">
        <v>291</v>
      </c>
      <c r="E27" s="1">
        <v>10</v>
      </c>
      <c r="F27" s="1" t="s">
        <v>190</v>
      </c>
      <c r="G27" s="2" t="s">
        <v>241</v>
      </c>
      <c r="H27" s="8" t="s">
        <v>242</v>
      </c>
      <c r="I27" s="8" t="s">
        <v>33</v>
      </c>
      <c r="K27" s="8" t="s">
        <v>262</v>
      </c>
      <c r="L27" s="208" t="s">
        <v>292</v>
      </c>
    </row>
    <row r="28" spans="2:12">
      <c r="B28" s="335" t="s">
        <v>258</v>
      </c>
      <c r="C28" s="65" t="s">
        <v>238</v>
      </c>
      <c r="D28" s="5" t="s">
        <v>293</v>
      </c>
      <c r="E28" s="1">
        <v>15</v>
      </c>
      <c r="F28" s="1" t="s">
        <v>177</v>
      </c>
      <c r="G28" s="2" t="s">
        <v>241</v>
      </c>
      <c r="H28" s="8" t="s">
        <v>242</v>
      </c>
      <c r="I28" s="8" t="s">
        <v>294</v>
      </c>
      <c r="J28" t="s">
        <v>424</v>
      </c>
      <c r="K28" s="8" t="s">
        <v>244</v>
      </c>
      <c r="L28" s="208" t="s">
        <v>295</v>
      </c>
    </row>
    <row r="29" spans="2:12">
      <c r="B29" s="335" t="s">
        <v>239</v>
      </c>
      <c r="C29" s="65" t="s">
        <v>238</v>
      </c>
      <c r="D29" s="5" t="s">
        <v>296</v>
      </c>
      <c r="E29" s="1">
        <v>30</v>
      </c>
      <c r="F29" s="1" t="s">
        <v>190</v>
      </c>
      <c r="G29" s="2" t="s">
        <v>241</v>
      </c>
      <c r="H29" s="8" t="s">
        <v>242</v>
      </c>
      <c r="I29" s="8" t="s">
        <v>33</v>
      </c>
      <c r="K29" s="8" t="s">
        <v>242</v>
      </c>
      <c r="L29" s="208" t="s">
        <v>297</v>
      </c>
    </row>
    <row r="30" spans="2:12">
      <c r="B30" s="335" t="s">
        <v>287</v>
      </c>
      <c r="C30" s="65" t="s">
        <v>238</v>
      </c>
      <c r="D30" s="4" t="s">
        <v>298</v>
      </c>
      <c r="E30" s="1">
        <v>30</v>
      </c>
      <c r="F30" s="1" t="s">
        <v>177</v>
      </c>
      <c r="G30" s="2" t="s">
        <v>241</v>
      </c>
      <c r="H30" s="8" t="s">
        <v>244</v>
      </c>
      <c r="I30" s="8" t="s">
        <v>273</v>
      </c>
      <c r="J30" s="352" t="s">
        <v>289</v>
      </c>
      <c r="K30" s="8" t="s">
        <v>242</v>
      </c>
      <c r="L30" s="208" t="s">
        <v>299</v>
      </c>
    </row>
    <row r="31" spans="2:12">
      <c r="B31" s="335" t="s">
        <v>247</v>
      </c>
      <c r="C31" s="65" t="s">
        <v>238</v>
      </c>
      <c r="D31" s="4" t="s">
        <v>300</v>
      </c>
      <c r="E31" s="1">
        <v>31</v>
      </c>
      <c r="F31" s="1" t="s">
        <v>251</v>
      </c>
      <c r="G31" s="2" t="s">
        <v>241</v>
      </c>
      <c r="H31" s="8" t="s">
        <v>242</v>
      </c>
      <c r="I31" s="8" t="s">
        <v>301</v>
      </c>
      <c r="J31" s="352"/>
      <c r="K31" s="8" t="s">
        <v>244</v>
      </c>
      <c r="L31" s="208" t="s">
        <v>302</v>
      </c>
    </row>
    <row r="32" spans="2:12">
      <c r="B32" s="335" t="s">
        <v>253</v>
      </c>
      <c r="C32" s="65" t="s">
        <v>238</v>
      </c>
      <c r="D32" s="4" t="s">
        <v>305</v>
      </c>
      <c r="E32" s="1">
        <v>31</v>
      </c>
      <c r="F32" s="1" t="s">
        <v>177</v>
      </c>
      <c r="G32" s="2" t="s">
        <v>241</v>
      </c>
      <c r="H32" s="8" t="s">
        <v>242</v>
      </c>
      <c r="I32" s="8" t="s">
        <v>273</v>
      </c>
      <c r="K32" s="8" t="s">
        <v>262</v>
      </c>
      <c r="L32" s="208" t="s">
        <v>306</v>
      </c>
    </row>
    <row r="33" spans="2:12">
      <c r="B33" s="335" t="s">
        <v>314</v>
      </c>
      <c r="C33" s="65" t="s">
        <v>238</v>
      </c>
      <c r="D33" s="5" t="s">
        <v>315</v>
      </c>
      <c r="E33" s="1">
        <v>45</v>
      </c>
      <c r="F33" s="1" t="s">
        <v>190</v>
      </c>
      <c r="G33" s="3" t="s">
        <v>260</v>
      </c>
      <c r="H33" s="8" t="s">
        <v>242</v>
      </c>
      <c r="I33" s="8" t="s">
        <v>312</v>
      </c>
      <c r="J33" t="s">
        <v>316</v>
      </c>
      <c r="K33" s="8" t="s">
        <v>244</v>
      </c>
      <c r="L33" s="208" t="s">
        <v>317</v>
      </c>
    </row>
    <row r="34" spans="2:12">
      <c r="B34" s="335" t="s">
        <v>314</v>
      </c>
      <c r="C34" s="65" t="s">
        <v>238</v>
      </c>
      <c r="D34" s="5" t="s">
        <v>318</v>
      </c>
      <c r="E34" s="1">
        <v>60</v>
      </c>
      <c r="F34" s="1" t="s">
        <v>190</v>
      </c>
      <c r="G34" s="3" t="s">
        <v>260</v>
      </c>
      <c r="H34" s="8" t="s">
        <v>242</v>
      </c>
      <c r="I34" s="8" t="s">
        <v>312</v>
      </c>
      <c r="J34" t="s">
        <v>316</v>
      </c>
      <c r="K34" s="8" t="s">
        <v>242</v>
      </c>
      <c r="L34" s="208" t="s">
        <v>319</v>
      </c>
    </row>
    <row r="35" spans="2:12">
      <c r="B35" s="336" t="s">
        <v>314</v>
      </c>
      <c r="C35" s="337" t="s">
        <v>238</v>
      </c>
      <c r="D35" s="338" t="s">
        <v>320</v>
      </c>
      <c r="E35" s="339">
        <v>60</v>
      </c>
      <c r="F35" s="339" t="s">
        <v>190</v>
      </c>
      <c r="G35" s="340" t="s">
        <v>260</v>
      </c>
      <c r="H35" s="341" t="s">
        <v>242</v>
      </c>
      <c r="I35" s="341" t="s">
        <v>312</v>
      </c>
      <c r="J35" s="255" t="s">
        <v>316</v>
      </c>
      <c r="K35" s="341" t="s">
        <v>244</v>
      </c>
      <c r="L35" s="216" t="s">
        <v>321</v>
      </c>
    </row>
  </sheetData>
  <hyperlinks>
    <hyperlink ref="J26" r:id="rId1" xr:uid="{6CACBF6F-CF76-4952-AF67-CE2E13FF3AC5}"/>
    <hyperlink ref="J30" r:id="rId2" xr:uid="{438F08AD-36E4-46A3-B2F3-21FA5E451CB5}"/>
    <hyperlink ref="J24" r:id="rId3" xr:uid="{A63E24EF-E180-4C55-B727-8FB2F745E40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7E373-3A7C-4808-A3E7-AC5E81F98B71}">
  <sheetPr>
    <tabColor rgb="FFC00000"/>
  </sheetPr>
  <dimension ref="B1:W79"/>
  <sheetViews>
    <sheetView workbookViewId="0">
      <selection activeCell="B8" sqref="B8"/>
    </sheetView>
  </sheetViews>
  <sheetFormatPr defaultRowHeight="15" customHeight="1"/>
  <cols>
    <col min="1" max="1" width="5.140625" customWidth="1"/>
    <col min="2" max="2" width="70.28515625" customWidth="1"/>
    <col min="3" max="4" width="14.28515625" customWidth="1"/>
    <col min="5" max="5" width="16.85546875" customWidth="1"/>
    <col min="6" max="6" width="14.28515625" customWidth="1"/>
    <col min="7" max="7" width="17.85546875" customWidth="1"/>
    <col min="8" max="8" width="2.42578125" customWidth="1"/>
    <col min="9" max="9" width="14.5703125" customWidth="1"/>
    <col min="10" max="10" width="14" customWidth="1"/>
    <col min="11" max="11" width="2.28515625" customWidth="1"/>
    <col min="12" max="12" width="13.42578125" customWidth="1"/>
    <col min="13" max="13" width="10.85546875" customWidth="1"/>
    <col min="14" max="14" width="13.28515625" customWidth="1"/>
    <col min="15" max="15" width="2" customWidth="1"/>
    <col min="16" max="16" width="11.140625" customWidth="1"/>
    <col min="17" max="17" width="13.28515625" customWidth="1"/>
    <col min="18" max="18" width="12.7109375" customWidth="1"/>
    <col min="19" max="19" width="17.140625" customWidth="1"/>
    <col min="20" max="20" width="10.7109375" customWidth="1"/>
    <col min="21" max="21" width="13.140625" customWidth="1"/>
    <col min="22" max="23" width="10.7109375" customWidth="1"/>
  </cols>
  <sheetData>
    <row r="1" spans="2:23" ht="15.75" customHeight="1">
      <c r="B1" s="78" t="s">
        <v>427</v>
      </c>
      <c r="C1" s="79">
        <v>0.4</v>
      </c>
      <c r="D1" s="79">
        <v>0.25</v>
      </c>
      <c r="E1" s="79">
        <v>0.2</v>
      </c>
      <c r="F1" s="79">
        <v>0.15</v>
      </c>
      <c r="G1" s="80">
        <f>SUM(C1:F1)</f>
        <v>1</v>
      </c>
      <c r="H1" s="81"/>
      <c r="I1" s="82"/>
      <c r="J1" s="83" t="s">
        <v>428</v>
      </c>
      <c r="K1" s="84"/>
      <c r="L1" s="460" t="s">
        <v>429</v>
      </c>
      <c r="M1" s="461" t="s">
        <v>430</v>
      </c>
      <c r="N1" s="462" t="s">
        <v>431</v>
      </c>
      <c r="O1" s="84"/>
      <c r="P1" s="463" t="s">
        <v>432</v>
      </c>
      <c r="Q1" s="464" t="s">
        <v>433</v>
      </c>
      <c r="R1" s="472"/>
      <c r="S1" s="473"/>
      <c r="T1" s="459" t="s">
        <v>434</v>
      </c>
      <c r="U1" s="474"/>
      <c r="V1" s="84"/>
      <c r="W1" s="84"/>
    </row>
    <row r="2" spans="2:23" ht="15.75" customHeight="1">
      <c r="B2" s="85" t="s">
        <v>435</v>
      </c>
      <c r="C2" s="86" t="s">
        <v>436</v>
      </c>
      <c r="D2" s="86" t="s">
        <v>437</v>
      </c>
      <c r="E2" s="86" t="s">
        <v>438</v>
      </c>
      <c r="F2" s="86" t="s">
        <v>439</v>
      </c>
      <c r="G2" s="87" t="s">
        <v>440</v>
      </c>
      <c r="H2" s="81"/>
      <c r="I2" s="88" t="s">
        <v>441</v>
      </c>
      <c r="J2" s="89">
        <v>4</v>
      </c>
      <c r="K2" s="90"/>
      <c r="L2" s="475"/>
      <c r="M2" s="476"/>
      <c r="N2" s="477"/>
      <c r="O2" s="90"/>
      <c r="P2" s="476"/>
      <c r="Q2" s="91" t="s">
        <v>429</v>
      </c>
      <c r="R2" s="91" t="s">
        <v>431</v>
      </c>
      <c r="S2" s="91" t="s">
        <v>430</v>
      </c>
      <c r="T2" s="475"/>
      <c r="U2" s="477"/>
      <c r="V2" s="90"/>
      <c r="W2" s="90"/>
    </row>
    <row r="3" spans="2:23" ht="15.75" customHeight="1">
      <c r="B3" s="92" t="s">
        <v>442</v>
      </c>
      <c r="C3" s="93">
        <f>_xlfn.XLOOKUP(B3,[1]Basileia!$A$2:$A$1010,[1]Basileia!$D$2:$D$1010)</f>
        <v>1</v>
      </c>
      <c r="D3" s="94">
        <f>_xlfn.XLOOKUP(B3,[1]Imobilizado!$A$2:$A$337,[1]Imobilizado!$D$2:$D$337)</f>
        <v>1</v>
      </c>
      <c r="E3" s="94">
        <f>_xlfn.XLOOKUP(B3,'[1]Lucro Líquido'!$A$2:$A$995,'[1]Lucro Líquido'!$D$2:$D$995)</f>
        <v>1</v>
      </c>
      <c r="F3" s="95">
        <f>_xlfn.XLOOKUP(B3,'[1]Receita '!$A$2:$A$691,'[1]Receita '!$D$2:$D$691)</f>
        <v>1</v>
      </c>
      <c r="G3" s="96">
        <f>((C3*$C$1)+(D3*$D$1)+(E3*$E$1)+(F3*$F$1))</f>
        <v>1</v>
      </c>
      <c r="H3" s="97"/>
      <c r="I3" s="98">
        <f>SUM(C3:F3)</f>
        <v>4</v>
      </c>
      <c r="J3" s="99">
        <f>I3/$J$2</f>
        <v>1</v>
      </c>
      <c r="K3" s="100"/>
      <c r="L3" s="101" t="s">
        <v>443</v>
      </c>
      <c r="M3" s="102"/>
      <c r="N3" s="103"/>
      <c r="O3" s="100"/>
      <c r="P3" s="104"/>
      <c r="Q3" s="105"/>
      <c r="R3" s="105"/>
      <c r="S3" s="105"/>
      <c r="T3" s="106"/>
      <c r="U3" s="107"/>
      <c r="V3" s="100"/>
      <c r="W3" s="100"/>
    </row>
    <row r="4" spans="2:23" ht="15.75" customHeight="1">
      <c r="B4" s="92" t="s">
        <v>444</v>
      </c>
      <c r="C4" s="108">
        <f>_xlfn.XLOOKUP(B4,[1]Basileia!$A$2:$A$1010,[1]Basileia!$D$2:$D$1010)</f>
        <v>1</v>
      </c>
      <c r="D4" s="109">
        <f>_xlfn.XLOOKUP(B4,[1]Imobilizado!$A$2:$A$337,[1]Imobilizado!$D$2:$D$337)</f>
        <v>1</v>
      </c>
      <c r="E4" s="109">
        <f>_xlfn.XLOOKUP(B4,'[1]Lucro Líquido'!$A$2:$A$995,'[1]Lucro Líquido'!$D$2:$D$995)</f>
        <v>1</v>
      </c>
      <c r="F4" s="110">
        <f>_xlfn.XLOOKUP(B4,'[1]Receita '!$A$2:$A$691,'[1]Receita '!$D$2:$D$691)</f>
        <v>1</v>
      </c>
      <c r="G4" s="111">
        <f>((C4*$C$1)+(D4*$D$1)+(E4*$E$1)+(F4*$F$1))</f>
        <v>1</v>
      </c>
      <c r="H4" s="97"/>
      <c r="I4" s="112">
        <f>SUM(C4:F4)</f>
        <v>4</v>
      </c>
      <c r="J4" s="113">
        <f>I4/$J$2</f>
        <v>1</v>
      </c>
      <c r="K4" s="100"/>
      <c r="L4" s="114" t="s">
        <v>445</v>
      </c>
      <c r="M4" s="115"/>
      <c r="N4" s="116"/>
      <c r="O4" s="100"/>
      <c r="P4" s="117">
        <v>1</v>
      </c>
      <c r="Q4" s="118" t="s">
        <v>443</v>
      </c>
      <c r="R4" s="118" t="s">
        <v>446</v>
      </c>
      <c r="S4" s="118" t="s">
        <v>443</v>
      </c>
      <c r="T4" s="467" t="s">
        <v>447</v>
      </c>
      <c r="U4" s="468" t="s">
        <v>448</v>
      </c>
      <c r="V4" s="100"/>
      <c r="W4" s="100"/>
    </row>
    <row r="5" spans="2:23" ht="15.75" customHeight="1">
      <c r="B5" s="92" t="s">
        <v>449</v>
      </c>
      <c r="C5" s="108">
        <f>_xlfn.XLOOKUP(B5,[1]Basileia!$A$2:$A$1010,[1]Basileia!$D$2:$D$1010)</f>
        <v>1</v>
      </c>
      <c r="D5" s="109">
        <f>_xlfn.XLOOKUP(B5,[1]Imobilizado!$A$2:$A$337,[1]Imobilizado!$D$2:$D$337)</f>
        <v>1</v>
      </c>
      <c r="E5" s="109">
        <f>_xlfn.XLOOKUP(B5,'[1]Lucro Líquido'!$A$2:$A$995,'[1]Lucro Líquido'!$D$2:$D$995)</f>
        <v>1</v>
      </c>
      <c r="F5" s="110">
        <f>_xlfn.XLOOKUP(B5,'[1]Receita '!$A$2:$A$691,'[1]Receita '!$D$2:$D$691)</f>
        <v>1</v>
      </c>
      <c r="G5" s="111">
        <f>((C5*$C$1)+(D5*$D$1)+(E5*$E$1)+(F5*$F$1))</f>
        <v>1</v>
      </c>
      <c r="H5" s="97"/>
      <c r="I5" s="112">
        <f>SUM(C5:F5)</f>
        <v>4</v>
      </c>
      <c r="J5" s="113">
        <f>I5/$J$2</f>
        <v>1</v>
      </c>
      <c r="K5" s="100"/>
      <c r="L5" s="114" t="s">
        <v>443</v>
      </c>
      <c r="M5" s="115"/>
      <c r="N5" s="116"/>
      <c r="O5" s="100"/>
      <c r="P5" s="117">
        <v>1</v>
      </c>
      <c r="Q5" s="118" t="s">
        <v>450</v>
      </c>
      <c r="R5" s="118" t="s">
        <v>451</v>
      </c>
      <c r="S5" s="118" t="s">
        <v>450</v>
      </c>
      <c r="T5" s="478"/>
      <c r="U5" s="479"/>
      <c r="V5" s="100"/>
      <c r="W5" s="100"/>
    </row>
    <row r="6" spans="2:23" ht="15.75" customHeight="1">
      <c r="B6" s="92" t="s">
        <v>452</v>
      </c>
      <c r="C6" s="108">
        <f>_xlfn.XLOOKUP(B6,[1]Basileia!$A$2:$A$1010,[1]Basileia!$D$2:$D$1010)</f>
        <v>1</v>
      </c>
      <c r="D6" s="109">
        <f>_xlfn.XLOOKUP(B6,[1]Imobilizado!$A$2:$A$337,[1]Imobilizado!$D$2:$D$337)</f>
        <v>1</v>
      </c>
      <c r="E6" s="109">
        <f>_xlfn.XLOOKUP(B6,'[1]Lucro Líquido'!$A$2:$A$995,'[1]Lucro Líquido'!$D$2:$D$995)</f>
        <v>1</v>
      </c>
      <c r="F6" s="110">
        <f>_xlfn.XLOOKUP(B6,'[1]Receita '!$A$2:$A$691,'[1]Receita '!$D$2:$D$691)</f>
        <v>0.75</v>
      </c>
      <c r="G6" s="111">
        <f>((C6*$C$1)+(D6*$D$1)+(E6*$E$1)+(F6*$F$1))</f>
        <v>0.96250000000000013</v>
      </c>
      <c r="H6" s="97"/>
      <c r="I6" s="112">
        <f>SUM(C6:F6)</f>
        <v>3.75</v>
      </c>
      <c r="J6" s="113">
        <f>I6/$J$2</f>
        <v>0.9375</v>
      </c>
      <c r="K6" s="100"/>
      <c r="L6" s="114" t="s">
        <v>443</v>
      </c>
      <c r="M6" s="115"/>
      <c r="N6" s="116" t="s">
        <v>443</v>
      </c>
      <c r="O6" s="100"/>
      <c r="P6" s="117">
        <v>1</v>
      </c>
      <c r="Q6" s="118" t="s">
        <v>453</v>
      </c>
      <c r="R6" s="118" t="s">
        <v>454</v>
      </c>
      <c r="S6" s="118" t="s">
        <v>453</v>
      </c>
      <c r="T6" s="478"/>
      <c r="U6" s="479"/>
      <c r="V6" s="100"/>
      <c r="W6" s="100"/>
    </row>
    <row r="7" spans="2:23" ht="15.75" customHeight="1">
      <c r="B7" s="92" t="s">
        <v>455</v>
      </c>
      <c r="C7" s="108">
        <f>_xlfn.XLOOKUP(B7,[1]Basileia!$A$2:$A$1010,[1]Basileia!$D$2:$D$1010)</f>
        <v>1</v>
      </c>
      <c r="D7" s="109">
        <f>_xlfn.XLOOKUP(B7,[1]Imobilizado!$A$2:$A$337,[1]Imobilizado!$D$2:$D$337)</f>
        <v>1</v>
      </c>
      <c r="E7" s="109">
        <f>_xlfn.XLOOKUP(B7,'[1]Lucro Líquido'!$A$2:$A$995,'[1]Lucro Líquido'!$D$2:$D$995)</f>
        <v>0.75</v>
      </c>
      <c r="F7" s="110">
        <f>_xlfn.XLOOKUP(B7,'[1]Receita '!$A$2:$A$691,'[1]Receita '!$D$2:$D$691)</f>
        <v>0.75</v>
      </c>
      <c r="G7" s="111">
        <f>((C7*$C$1)+(D7*$D$1)+(E7*$E$1)+(F7*$F$1))</f>
        <v>0.91250000000000009</v>
      </c>
      <c r="H7" s="97"/>
      <c r="I7" s="112">
        <f>SUM(C7:F7)</f>
        <v>3.5</v>
      </c>
      <c r="J7" s="113">
        <f>I7/$J$2</f>
        <v>0.875</v>
      </c>
      <c r="K7" s="100"/>
      <c r="L7" s="114"/>
      <c r="M7" s="115"/>
      <c r="N7" s="116" t="s">
        <v>456</v>
      </c>
      <c r="O7" s="100"/>
      <c r="P7" s="117">
        <v>1</v>
      </c>
      <c r="Q7" s="118" t="s">
        <v>445</v>
      </c>
      <c r="R7" s="118" t="s">
        <v>457</v>
      </c>
      <c r="S7" s="118" t="s">
        <v>445</v>
      </c>
      <c r="T7" s="478"/>
      <c r="U7" s="479"/>
      <c r="V7" s="100"/>
      <c r="W7" s="100"/>
    </row>
    <row r="8" spans="2:23" ht="15.75" customHeight="1">
      <c r="B8" s="92" t="s">
        <v>458</v>
      </c>
      <c r="C8" s="108">
        <f>_xlfn.XLOOKUP(B8,[1]Basileia!$A$2:$A$1010,[1]Basileia!$D$2:$D$1010)</f>
        <v>0.75</v>
      </c>
      <c r="D8" s="109">
        <f>_xlfn.XLOOKUP(B8,[1]Imobilizado!$A$2:$A$337,[1]Imobilizado!$D$2:$D$337)</f>
        <v>1</v>
      </c>
      <c r="E8" s="109">
        <f>_xlfn.XLOOKUP(B8,'[1]Lucro Líquido'!$A$2:$A$995,'[1]Lucro Líquido'!$D$2:$D$995)</f>
        <v>1</v>
      </c>
      <c r="F8" s="110">
        <f>_xlfn.XLOOKUP(B8,'[1]Receita '!$A$2:$A$691,'[1]Receita '!$D$2:$D$691)</f>
        <v>1</v>
      </c>
      <c r="G8" s="111">
        <f>((C8*$C$1)+(D8*$D$1)+(E8*$E$1)+(F8*$F$1))</f>
        <v>0.9</v>
      </c>
      <c r="H8" s="97"/>
      <c r="I8" s="112">
        <f>SUM(C8:F8)</f>
        <v>3.75</v>
      </c>
      <c r="J8" s="113">
        <f>I8/$J$2</f>
        <v>0.9375</v>
      </c>
      <c r="K8" s="100"/>
      <c r="L8" s="114" t="s">
        <v>443</v>
      </c>
      <c r="M8" s="115" t="s">
        <v>443</v>
      </c>
      <c r="N8" s="116" t="s">
        <v>443</v>
      </c>
      <c r="O8" s="100"/>
      <c r="P8" s="117">
        <v>1</v>
      </c>
      <c r="Q8" s="118" t="s">
        <v>459</v>
      </c>
      <c r="R8" s="118" t="s">
        <v>460</v>
      </c>
      <c r="S8" s="118" t="s">
        <v>459</v>
      </c>
      <c r="T8" s="478"/>
      <c r="U8" s="479"/>
      <c r="V8" s="100"/>
      <c r="W8" s="100"/>
    </row>
    <row r="9" spans="2:23" ht="15.75" customHeight="1">
      <c r="B9" s="92" t="s">
        <v>411</v>
      </c>
      <c r="C9" s="108">
        <f>_xlfn.XLOOKUP(B9,[1]Basileia!$A$2:$A$1010,[1]Basileia!$D$2:$D$1010)</f>
        <v>0.75</v>
      </c>
      <c r="D9" s="109">
        <f>_xlfn.XLOOKUP(B9,[1]Imobilizado!$A$2:$A$337,[1]Imobilizado!$D$2:$D$337)</f>
        <v>1</v>
      </c>
      <c r="E9" s="109">
        <f>_xlfn.XLOOKUP(B9,'[1]Lucro Líquido'!$A$2:$A$995,'[1]Lucro Líquido'!$D$2:$D$995)</f>
        <v>1</v>
      </c>
      <c r="F9" s="110">
        <f>_xlfn.XLOOKUP(B9,'[1]Receita '!$A$2:$A$691,'[1]Receita '!$D$2:$D$691)</f>
        <v>1</v>
      </c>
      <c r="G9" s="111">
        <f>((C9*$C$1)+(D9*$D$1)+(E9*$E$1)+(F9*$F$1))</f>
        <v>0.9</v>
      </c>
      <c r="H9" s="97"/>
      <c r="I9" s="112">
        <f>SUM(C9:F9)</f>
        <v>3.75</v>
      </c>
      <c r="J9" s="113">
        <f>I9/$J$2</f>
        <v>0.9375</v>
      </c>
      <c r="K9" s="100"/>
      <c r="L9" s="114" t="s">
        <v>443</v>
      </c>
      <c r="M9" s="115"/>
      <c r="N9" s="116"/>
      <c r="O9" s="100"/>
      <c r="P9" s="117">
        <v>1</v>
      </c>
      <c r="Q9" s="118" t="s">
        <v>461</v>
      </c>
      <c r="R9" s="118" t="s">
        <v>462</v>
      </c>
      <c r="S9" s="118" t="s">
        <v>461</v>
      </c>
      <c r="T9" s="478"/>
      <c r="U9" s="479"/>
      <c r="V9" s="100"/>
      <c r="W9" s="100"/>
    </row>
    <row r="10" spans="2:23" ht="15.75" customHeight="1">
      <c r="B10" s="92" t="s">
        <v>463</v>
      </c>
      <c r="C10" s="108">
        <f>_xlfn.XLOOKUP(B10,[1]Basileia!$A$2:$A$1010,[1]Basileia!$D$2:$D$1010)</f>
        <v>0.75</v>
      </c>
      <c r="D10" s="109">
        <f>_xlfn.XLOOKUP(B10,[1]Imobilizado!$A$2:$A$337,[1]Imobilizado!$D$2:$D$337)</f>
        <v>1</v>
      </c>
      <c r="E10" s="109">
        <f>_xlfn.XLOOKUP(B10,'[1]Lucro Líquido'!$A$2:$A$995,'[1]Lucro Líquido'!$D$2:$D$995)</f>
        <v>1</v>
      </c>
      <c r="F10" s="110">
        <f>_xlfn.XLOOKUP(B10,'[1]Receita '!$A$2:$A$691,'[1]Receita '!$D$2:$D$691)</f>
        <v>1</v>
      </c>
      <c r="G10" s="111">
        <f>((C10*$C$1)+(D10*$D$1)+(E10*$E$1)+(F10*$F$1))</f>
        <v>0.9</v>
      </c>
      <c r="H10" s="97"/>
      <c r="I10" s="112">
        <f>SUM(C10:F10)</f>
        <v>3.75</v>
      </c>
      <c r="J10" s="113">
        <f>I10/$J$2</f>
        <v>0.9375</v>
      </c>
      <c r="K10" s="100"/>
      <c r="L10" s="114" t="s">
        <v>443</v>
      </c>
      <c r="M10" s="115"/>
      <c r="N10" s="116"/>
      <c r="O10" s="100"/>
      <c r="P10" s="117"/>
      <c r="Q10" s="118"/>
      <c r="R10" s="118"/>
      <c r="S10" s="118"/>
      <c r="T10" s="478"/>
      <c r="U10" s="119"/>
      <c r="V10" s="100"/>
      <c r="W10" s="100"/>
    </row>
    <row r="11" spans="2:23" ht="15.75" customHeight="1">
      <c r="B11" s="92" t="s">
        <v>464</v>
      </c>
      <c r="C11" s="108">
        <f>_xlfn.XLOOKUP(B11,[1]Basileia!$A$2:$A$1010,[1]Basileia!$D$2:$D$1010)</f>
        <v>0.75</v>
      </c>
      <c r="D11" s="109">
        <f>_xlfn.XLOOKUP(B11,[1]Imobilizado!$A$2:$A$337,[1]Imobilizado!$D$2:$D$337)</f>
        <v>1</v>
      </c>
      <c r="E11" s="109">
        <f>_xlfn.XLOOKUP(B11,'[1]Lucro Líquido'!$A$2:$A$995,'[1]Lucro Líquido'!$D$2:$D$995)</f>
        <v>1</v>
      </c>
      <c r="F11" s="110">
        <f>_xlfn.XLOOKUP(B11,'[1]Receita '!$A$2:$A$691,'[1]Receita '!$D$2:$D$691)</f>
        <v>1</v>
      </c>
      <c r="G11" s="111">
        <f>((C11*$C$1)+(D11*$D$1)+(E11*$E$1)+(F11*$F$1))</f>
        <v>0.9</v>
      </c>
      <c r="H11" s="97"/>
      <c r="I11" s="112">
        <f>SUM(C11:F11)</f>
        <v>3.75</v>
      </c>
      <c r="J11" s="113">
        <f>I11/$J$2</f>
        <v>0.9375</v>
      </c>
      <c r="K11" s="100"/>
      <c r="L11" s="114"/>
      <c r="M11" s="115"/>
      <c r="N11" s="116" t="s">
        <v>443</v>
      </c>
      <c r="O11" s="100"/>
      <c r="P11" s="117">
        <v>1</v>
      </c>
      <c r="Q11" s="118" t="s">
        <v>456</v>
      </c>
      <c r="R11" s="118" t="s">
        <v>465</v>
      </c>
      <c r="S11" s="118" t="s">
        <v>456</v>
      </c>
      <c r="T11" s="478"/>
      <c r="U11" s="468" t="s">
        <v>466</v>
      </c>
      <c r="V11" s="100"/>
      <c r="W11" s="100"/>
    </row>
    <row r="12" spans="2:23" ht="15.75" customHeight="1">
      <c r="B12" s="92" t="s">
        <v>467</v>
      </c>
      <c r="C12" s="108">
        <f>_xlfn.XLOOKUP(B12,[1]Basileia!$A$2:$A$1010,[1]Basileia!$D$2:$D$1010)</f>
        <v>0.75</v>
      </c>
      <c r="D12" s="109">
        <f>_xlfn.XLOOKUP(B12,[1]Imobilizado!$A$2:$A$337,[1]Imobilizado!$D$2:$D$337)</f>
        <v>1</v>
      </c>
      <c r="E12" s="109">
        <f>_xlfn.XLOOKUP(B12,'[1]Lucro Líquido'!$A$2:$A$995,'[1]Lucro Líquido'!$D$2:$D$995)</f>
        <v>1</v>
      </c>
      <c r="F12" s="110">
        <f>_xlfn.XLOOKUP(B12,'[1]Receita '!$A$2:$A$691,'[1]Receita '!$D$2:$D$691)</f>
        <v>1</v>
      </c>
      <c r="G12" s="111">
        <f>((C12*$C$1)+(D12*$D$1)+(E12*$E$1)+(F12*$F$1))</f>
        <v>0.9</v>
      </c>
      <c r="H12" s="97"/>
      <c r="I12" s="112">
        <f>SUM(C12:F12)</f>
        <v>3.75</v>
      </c>
      <c r="J12" s="113">
        <f>I12/$J$2</f>
        <v>0.9375</v>
      </c>
      <c r="K12" s="100"/>
      <c r="L12" s="114"/>
      <c r="M12" s="115" t="s">
        <v>443</v>
      </c>
      <c r="N12" s="116"/>
      <c r="O12" s="100"/>
      <c r="P12" s="120">
        <v>0</v>
      </c>
      <c r="Q12" s="121" t="s">
        <v>468</v>
      </c>
      <c r="R12" s="121" t="s">
        <v>469</v>
      </c>
      <c r="S12" s="121" t="s">
        <v>468</v>
      </c>
      <c r="T12" s="478"/>
      <c r="U12" s="479"/>
      <c r="V12" s="100"/>
      <c r="W12" s="100"/>
    </row>
    <row r="13" spans="2:23" ht="15.75" customHeight="1">
      <c r="B13" s="92" t="s">
        <v>470</v>
      </c>
      <c r="C13" s="108">
        <f>_xlfn.XLOOKUP(B13,[1]Basileia!$A$2:$A$1010,[1]Basileia!$D$2:$D$1010)</f>
        <v>0.75</v>
      </c>
      <c r="D13" s="109">
        <f>_xlfn.XLOOKUP(B13,[1]Imobilizado!$A$2:$A$337,[1]Imobilizado!$D$2:$D$337)</f>
        <v>1</v>
      </c>
      <c r="E13" s="109">
        <f>_xlfn.XLOOKUP(B13,'[1]Lucro Líquido'!$A$2:$A$995,'[1]Lucro Líquido'!$D$2:$D$995)</f>
        <v>1</v>
      </c>
      <c r="F13" s="110">
        <f>_xlfn.XLOOKUP(B13,'[1]Receita '!$A$2:$A$691,'[1]Receita '!$D$2:$D$691)</f>
        <v>1</v>
      </c>
      <c r="G13" s="111">
        <f>((C13*$C$1)+(D13*$D$1)+(E13*$E$1)+(F13*$F$1))</f>
        <v>0.9</v>
      </c>
      <c r="H13" s="97"/>
      <c r="I13" s="112">
        <f>SUM(C13:F13)</f>
        <v>3.75</v>
      </c>
      <c r="J13" s="113">
        <f>I13/$J$2</f>
        <v>0.9375</v>
      </c>
      <c r="K13" s="100"/>
      <c r="L13" s="114"/>
      <c r="M13" s="115"/>
      <c r="N13" s="116" t="s">
        <v>471</v>
      </c>
      <c r="O13" s="100"/>
      <c r="P13" s="122"/>
      <c r="Q13" s="123"/>
      <c r="R13" s="123"/>
      <c r="S13" s="123"/>
      <c r="T13" s="123"/>
      <c r="U13" s="119"/>
      <c r="V13" s="100"/>
      <c r="W13" s="100"/>
    </row>
    <row r="14" spans="2:23" ht="15.75" customHeight="1">
      <c r="B14" s="92" t="s">
        <v>472</v>
      </c>
      <c r="C14" s="108">
        <f>_xlfn.XLOOKUP(B14,[1]Basileia!$A$2:$A$1010,[1]Basileia!$D$2:$D$1010)</f>
        <v>0.75</v>
      </c>
      <c r="D14" s="109">
        <f>_xlfn.XLOOKUP(B14,[1]Imobilizado!$A$2:$A$337,[1]Imobilizado!$D$2:$D$337)</f>
        <v>1</v>
      </c>
      <c r="E14" s="109">
        <f>_xlfn.XLOOKUP(B14,'[1]Lucro Líquido'!$A$2:$A$995,'[1]Lucro Líquido'!$D$2:$D$995)</f>
        <v>1</v>
      </c>
      <c r="F14" s="110">
        <f>_xlfn.XLOOKUP(B14,'[1]Receita '!$A$2:$A$691,'[1]Receita '!$D$2:$D$691)</f>
        <v>1</v>
      </c>
      <c r="G14" s="111">
        <f>((C14*$C$1)+(D14*$D$1)+(E14*$E$1)+(F14*$F$1))</f>
        <v>0.9</v>
      </c>
      <c r="H14" s="97"/>
      <c r="I14" s="112">
        <f>SUM(C14:F14)</f>
        <v>3.75</v>
      </c>
      <c r="J14" s="113">
        <f>I14/$J$2</f>
        <v>0.9375</v>
      </c>
      <c r="K14" s="100"/>
      <c r="L14" s="114"/>
      <c r="M14" s="115" t="s">
        <v>443</v>
      </c>
      <c r="N14" s="116"/>
      <c r="O14" s="100"/>
      <c r="P14" s="120">
        <v>0</v>
      </c>
      <c r="Q14" s="121" t="s">
        <v>473</v>
      </c>
      <c r="R14" s="121" t="s">
        <v>474</v>
      </c>
      <c r="S14" s="121" t="s">
        <v>475</v>
      </c>
      <c r="T14" s="469"/>
      <c r="U14" s="468"/>
      <c r="V14" s="100"/>
      <c r="W14" s="100"/>
    </row>
    <row r="15" spans="2:23" ht="15.75" customHeight="1">
      <c r="B15" s="92" t="s">
        <v>476</v>
      </c>
      <c r="C15" s="108">
        <f>_xlfn.XLOOKUP(B15,[1]Basileia!$A$2:$A$1010,[1]Basileia!$D$2:$D$1010)</f>
        <v>0.75</v>
      </c>
      <c r="D15" s="109">
        <f>_xlfn.XLOOKUP(B15,[1]Imobilizado!$A$2:$A$337,[1]Imobilizado!$D$2:$D$337)</f>
        <v>1</v>
      </c>
      <c r="E15" s="109">
        <f>_xlfn.XLOOKUP(B15,'[1]Lucro Líquido'!$A$2:$A$995,'[1]Lucro Líquido'!$D$2:$D$995)</f>
        <v>1</v>
      </c>
      <c r="F15" s="110">
        <f>_xlfn.XLOOKUP(B15,'[1]Receita '!$A$2:$A$691,'[1]Receita '!$D$2:$D$691)</f>
        <v>1</v>
      </c>
      <c r="G15" s="111">
        <f>((C15*$C$1)+(D15*$D$1)+(E15*$E$1)+(F15*$F$1))</f>
        <v>0.9</v>
      </c>
      <c r="H15" s="97"/>
      <c r="I15" s="112">
        <f>SUM(C15:F15)</f>
        <v>3.75</v>
      </c>
      <c r="J15" s="113">
        <f>I15/$J$2</f>
        <v>0.9375</v>
      </c>
      <c r="K15" s="100"/>
      <c r="L15" s="114" t="s">
        <v>443</v>
      </c>
      <c r="M15" s="115" t="s">
        <v>443</v>
      </c>
      <c r="N15" s="116"/>
      <c r="O15" s="100"/>
      <c r="P15" s="120">
        <v>0</v>
      </c>
      <c r="Q15" s="121" t="s">
        <v>477</v>
      </c>
      <c r="R15" s="121" t="s">
        <v>478</v>
      </c>
      <c r="S15" s="121" t="s">
        <v>477</v>
      </c>
      <c r="T15" s="478"/>
      <c r="U15" s="479"/>
      <c r="V15" s="100"/>
      <c r="W15" s="100"/>
    </row>
    <row r="16" spans="2:23" ht="15.75" customHeight="1">
      <c r="B16" s="92" t="s">
        <v>479</v>
      </c>
      <c r="C16" s="108">
        <f>_xlfn.XLOOKUP(B16,[1]Basileia!$A$2:$A$1010,[1]Basileia!$D$2:$D$1010)</f>
        <v>0.75</v>
      </c>
      <c r="D16" s="109">
        <f>_xlfn.XLOOKUP(B16,[1]Imobilizado!$A$2:$A$337,[1]Imobilizado!$D$2:$D$337)</f>
        <v>1</v>
      </c>
      <c r="E16" s="109">
        <f>_xlfn.XLOOKUP(B16,'[1]Lucro Líquido'!$A$2:$A$995,'[1]Lucro Líquido'!$D$2:$D$995)</f>
        <v>1</v>
      </c>
      <c r="F16" s="110">
        <f>_xlfn.XLOOKUP(B16,'[1]Receita '!$A$2:$A$691,'[1]Receita '!$D$2:$D$691)</f>
        <v>1</v>
      </c>
      <c r="G16" s="111">
        <f>((C16*$C$1)+(D16*$D$1)+(E16*$E$1)+(F16*$F$1))</f>
        <v>0.9</v>
      </c>
      <c r="H16" s="97"/>
      <c r="I16" s="112">
        <f>SUM(C16:F16)</f>
        <v>3.75</v>
      </c>
      <c r="J16" s="113">
        <f>I16/$J$2</f>
        <v>0.9375</v>
      </c>
      <c r="K16" s="100"/>
      <c r="L16" s="114"/>
      <c r="M16" s="115"/>
      <c r="N16" s="116" t="s">
        <v>459</v>
      </c>
      <c r="O16" s="100"/>
      <c r="P16" s="120">
        <v>0</v>
      </c>
      <c r="Q16" s="121" t="s">
        <v>480</v>
      </c>
      <c r="R16" s="121" t="s">
        <v>481</v>
      </c>
      <c r="S16" s="121" t="s">
        <v>480</v>
      </c>
      <c r="T16" s="478"/>
      <c r="U16" s="479"/>
      <c r="V16" s="100"/>
      <c r="W16" s="100"/>
    </row>
    <row r="17" spans="2:23" ht="15.75" customHeight="1">
      <c r="B17" s="92" t="s">
        <v>482</v>
      </c>
      <c r="C17" s="108">
        <f>_xlfn.XLOOKUP(B17,[1]Basileia!$A$2:$A$1010,[1]Basileia!$D$2:$D$1010)</f>
        <v>0.75</v>
      </c>
      <c r="D17" s="109">
        <f>_xlfn.XLOOKUP(B17,[1]Imobilizado!$A$2:$A$337,[1]Imobilizado!$D$2:$D$337)</f>
        <v>1</v>
      </c>
      <c r="E17" s="109">
        <f>_xlfn.XLOOKUP(B17,'[1]Lucro Líquido'!$A$2:$A$995,'[1]Lucro Líquido'!$D$2:$D$995)</f>
        <v>1</v>
      </c>
      <c r="F17" s="110">
        <f>_xlfn.XLOOKUP(B17,'[1]Receita '!$A$2:$A$691,'[1]Receita '!$D$2:$D$691)</f>
        <v>1</v>
      </c>
      <c r="G17" s="111">
        <f>((C17*$C$1)+(D17*$D$1)+(E17*$E$1)+(F17*$F$1))</f>
        <v>0.9</v>
      </c>
      <c r="H17" s="97"/>
      <c r="I17" s="112">
        <f>SUM(C17:F17)</f>
        <v>3.75</v>
      </c>
      <c r="J17" s="113">
        <f>I17/$J$2</f>
        <v>0.9375</v>
      </c>
      <c r="K17" s="100"/>
      <c r="L17" s="114" t="s">
        <v>443</v>
      </c>
      <c r="M17" s="115"/>
      <c r="N17" s="116"/>
      <c r="O17" s="100"/>
      <c r="P17" s="120">
        <v>0</v>
      </c>
      <c r="Q17" s="121" t="s">
        <v>483</v>
      </c>
      <c r="R17" s="121" t="s">
        <v>484</v>
      </c>
      <c r="S17" s="121" t="s">
        <v>483</v>
      </c>
      <c r="T17" s="478"/>
      <c r="U17" s="479"/>
      <c r="V17" s="100"/>
      <c r="W17" s="100"/>
    </row>
    <row r="18" spans="2:23" ht="15.75" customHeight="1">
      <c r="B18" s="92" t="s">
        <v>485</v>
      </c>
      <c r="C18" s="108">
        <f>_xlfn.XLOOKUP(B18,[1]Basileia!$A$2:$A$1010,[1]Basileia!$D$2:$D$1010)</f>
        <v>0.75</v>
      </c>
      <c r="D18" s="109">
        <f>_xlfn.XLOOKUP(B18,[1]Imobilizado!$A$2:$A$337,[1]Imobilizado!$D$2:$D$337)</f>
        <v>1</v>
      </c>
      <c r="E18" s="109">
        <f>_xlfn.XLOOKUP(B18,'[1]Lucro Líquido'!$A$2:$A$995,'[1]Lucro Líquido'!$D$2:$D$995)</f>
        <v>1</v>
      </c>
      <c r="F18" s="110">
        <f>_xlfn.XLOOKUP(B18,'[1]Receita '!$A$2:$A$691,'[1]Receita '!$D$2:$D$691)</f>
        <v>1</v>
      </c>
      <c r="G18" s="111">
        <f>((C18*$C$1)+(D18*$D$1)+(E18*$E$1)+(F18*$F$1))</f>
        <v>0.9</v>
      </c>
      <c r="H18" s="97"/>
      <c r="I18" s="112">
        <f>SUM(C18:F18)</f>
        <v>3.75</v>
      </c>
      <c r="J18" s="113">
        <f>I18/$J$2</f>
        <v>0.9375</v>
      </c>
      <c r="K18" s="100"/>
      <c r="L18" s="114"/>
      <c r="M18" s="115"/>
      <c r="N18" s="116" t="s">
        <v>456</v>
      </c>
      <c r="O18" s="100"/>
      <c r="P18" s="120"/>
      <c r="Q18" s="121"/>
      <c r="R18" s="121"/>
      <c r="S18" s="121"/>
      <c r="T18" s="478"/>
      <c r="U18" s="468" t="s">
        <v>486</v>
      </c>
      <c r="V18" s="100"/>
      <c r="W18" s="100"/>
    </row>
    <row r="19" spans="2:23" ht="15.75" customHeight="1">
      <c r="B19" s="92" t="s">
        <v>487</v>
      </c>
      <c r="C19" s="108">
        <f>_xlfn.XLOOKUP(B19,[1]Basileia!$A$2:$A$1010,[1]Basileia!$D$2:$D$1010)</f>
        <v>0.75</v>
      </c>
      <c r="D19" s="109">
        <f>_xlfn.XLOOKUP(B19,[1]Imobilizado!$A$2:$A$337,[1]Imobilizado!$D$2:$D$337)</f>
        <v>1</v>
      </c>
      <c r="E19" s="109">
        <f>_xlfn.XLOOKUP(B19,'[1]Lucro Líquido'!$A$2:$A$995,'[1]Lucro Líquido'!$D$2:$D$995)</f>
        <v>1</v>
      </c>
      <c r="F19" s="110">
        <f>_xlfn.XLOOKUP(B19,'[1]Receita '!$A$2:$A$691,'[1]Receita '!$D$2:$D$691)</f>
        <v>0.75</v>
      </c>
      <c r="G19" s="111">
        <f>((C19*$C$1)+(D19*$D$1)+(E19*$E$1)+(F19*$F$1))</f>
        <v>0.86250000000000004</v>
      </c>
      <c r="H19" s="97"/>
      <c r="I19" s="112">
        <f>SUM(C19:F19)</f>
        <v>3.5</v>
      </c>
      <c r="J19" s="113">
        <f>I19/$J$2</f>
        <v>0.875</v>
      </c>
      <c r="K19" s="100"/>
      <c r="L19" s="114" t="s">
        <v>443</v>
      </c>
      <c r="M19" s="115" t="s">
        <v>443</v>
      </c>
      <c r="N19" s="116"/>
      <c r="O19" s="100"/>
      <c r="P19" s="120">
        <v>0</v>
      </c>
      <c r="Q19" s="121" t="s">
        <v>488</v>
      </c>
      <c r="R19" s="121" t="s">
        <v>489</v>
      </c>
      <c r="S19" s="121" t="s">
        <v>490</v>
      </c>
      <c r="T19" s="478"/>
      <c r="U19" s="479"/>
      <c r="V19" s="100"/>
      <c r="W19" s="100"/>
    </row>
    <row r="20" spans="2:23" ht="15.75" customHeight="1">
      <c r="B20" s="92" t="s">
        <v>491</v>
      </c>
      <c r="C20" s="108">
        <f>_xlfn.XLOOKUP(B20,[1]Basileia!$A$2:$A$1010,[1]Basileia!$D$2:$D$1010)</f>
        <v>0.75</v>
      </c>
      <c r="D20" s="109">
        <f>_xlfn.XLOOKUP(B20,[1]Imobilizado!$A$2:$A$337,[1]Imobilizado!$D$2:$D$337)</f>
        <v>1</v>
      </c>
      <c r="E20" s="109">
        <f>_xlfn.XLOOKUP(B20,'[1]Lucro Líquido'!$A$2:$A$995,'[1]Lucro Líquido'!$D$2:$D$995)</f>
        <v>0.75</v>
      </c>
      <c r="F20" s="110">
        <f>_xlfn.XLOOKUP(B20,'[1]Receita '!$A$2:$A$691,'[1]Receita '!$D$2:$D$691)</f>
        <v>0.75</v>
      </c>
      <c r="G20" s="111">
        <f>((C20*$C$1)+(D20*$D$1)+(E20*$E$1)+(F20*$F$1))</f>
        <v>0.8125</v>
      </c>
      <c r="H20" s="97"/>
      <c r="I20" s="112">
        <f>SUM(C20:F20)</f>
        <v>3.25</v>
      </c>
      <c r="J20" s="113">
        <f>I20/$J$2</f>
        <v>0.8125</v>
      </c>
      <c r="K20" s="100"/>
      <c r="L20" s="114"/>
      <c r="M20" s="115" t="s">
        <v>443</v>
      </c>
      <c r="N20" s="116"/>
      <c r="O20" s="100"/>
      <c r="P20" s="124">
        <v>0</v>
      </c>
      <c r="Q20" s="125" t="s">
        <v>492</v>
      </c>
      <c r="R20" s="125" t="s">
        <v>493</v>
      </c>
      <c r="S20" s="125" t="s">
        <v>488</v>
      </c>
      <c r="T20" s="480"/>
      <c r="U20" s="477"/>
      <c r="V20" s="100"/>
      <c r="W20" s="100"/>
    </row>
    <row r="21" spans="2:23" ht="15.75" customHeight="1">
      <c r="B21" s="92" t="s">
        <v>494</v>
      </c>
      <c r="C21" s="108">
        <f>_xlfn.XLOOKUP(B21,[1]Basileia!$A$2:$A$1010,[1]Basileia!$D$2:$D$1010)</f>
        <v>0.75</v>
      </c>
      <c r="D21" s="109">
        <f>_xlfn.XLOOKUP(B21,[1]Imobilizado!$A$2:$A$337,[1]Imobilizado!$D$2:$D$337)</f>
        <v>1</v>
      </c>
      <c r="E21" s="109">
        <f>_xlfn.XLOOKUP(B21,'[1]Lucro Líquido'!$A$2:$A$995,'[1]Lucro Líquido'!$D$2:$D$995)</f>
        <v>0.75</v>
      </c>
      <c r="F21" s="110">
        <f>_xlfn.XLOOKUP(B21,'[1]Receita '!$A$2:$A$691,'[1]Receita '!$D$2:$D$691)</f>
        <v>0.75</v>
      </c>
      <c r="G21" s="111">
        <f>((C21*$C$1)+(D21*$D$1)+(E21*$E$1)+(F21*$F$1))</f>
        <v>0.8125</v>
      </c>
      <c r="H21" s="97"/>
      <c r="I21" s="112">
        <f>SUM(C21:F21)</f>
        <v>3.25</v>
      </c>
      <c r="J21" s="113">
        <f>I21/$J$2</f>
        <v>0.8125</v>
      </c>
      <c r="K21" s="100"/>
      <c r="L21" s="114"/>
      <c r="M21" s="115"/>
      <c r="N21" s="116" t="s">
        <v>453</v>
      </c>
      <c r="O21" s="100"/>
      <c r="P21" s="123"/>
      <c r="Q21" s="126"/>
      <c r="R21" s="126"/>
      <c r="S21" s="126"/>
      <c r="T21" s="123"/>
      <c r="U21" s="123"/>
      <c r="V21" s="100"/>
      <c r="W21" s="100"/>
    </row>
    <row r="22" spans="2:23" ht="15.75" customHeight="1">
      <c r="B22" s="92" t="s">
        <v>495</v>
      </c>
      <c r="C22" s="108">
        <f>_xlfn.XLOOKUP(B22,[1]Basileia!$A$2:$A$1010,[1]Basileia!$D$2:$D$1010)</f>
        <v>0.75</v>
      </c>
      <c r="D22" s="109">
        <f>_xlfn.XLOOKUP(B22,[1]Imobilizado!$A$2:$A$337,[1]Imobilizado!$D$2:$D$337)</f>
        <v>1</v>
      </c>
      <c r="E22" s="109">
        <f>_xlfn.XLOOKUP(B22,'[1]Lucro Líquido'!$A$2:$A$995,'[1]Lucro Líquido'!$D$2:$D$995)</f>
        <v>0.75</v>
      </c>
      <c r="F22" s="110">
        <f>_xlfn.XLOOKUP(B22,'[1]Receita '!$A$2:$A$691,'[1]Receita '!$D$2:$D$691)</f>
        <v>0.75</v>
      </c>
      <c r="G22" s="111">
        <f>((C22*$C$1)+(D22*$D$1)+(E22*$E$1)+(F22*$F$1))</f>
        <v>0.8125</v>
      </c>
      <c r="H22" s="97"/>
      <c r="I22" s="112">
        <f>SUM(C22:F22)</f>
        <v>3.25</v>
      </c>
      <c r="J22" s="113">
        <f>I22/$J$2</f>
        <v>0.8125</v>
      </c>
      <c r="K22" s="100"/>
      <c r="L22" s="114" t="s">
        <v>496</v>
      </c>
      <c r="M22" s="115"/>
      <c r="N22" s="116"/>
      <c r="O22" s="100"/>
      <c r="P22" s="127" t="s">
        <v>497</v>
      </c>
      <c r="Q22" s="126"/>
      <c r="R22" s="126"/>
      <c r="S22" s="126"/>
      <c r="T22" s="123"/>
      <c r="U22" s="123"/>
      <c r="V22" s="100"/>
      <c r="W22" s="100"/>
    </row>
    <row r="23" spans="2:23" ht="15.75" customHeight="1">
      <c r="B23" s="92" t="s">
        <v>498</v>
      </c>
      <c r="C23" s="108">
        <f>_xlfn.XLOOKUP(B23,[1]Basileia!$A$2:$A$1010,[1]Basileia!$D$2:$D$1010)</f>
        <v>0.5</v>
      </c>
      <c r="D23" s="109">
        <f>_xlfn.XLOOKUP(B23,[1]Imobilizado!$A$2:$A$337,[1]Imobilizado!$D$2:$D$337)</f>
        <v>1</v>
      </c>
      <c r="E23" s="109">
        <f>_xlfn.XLOOKUP(B23,'[1]Lucro Líquido'!$A$2:$A$995,'[1]Lucro Líquido'!$D$2:$D$995)</f>
        <v>1</v>
      </c>
      <c r="F23" s="110">
        <f>_xlfn.XLOOKUP(B23,'[1]Receita '!$A$2:$A$691,'[1]Receita '!$D$2:$D$691)</f>
        <v>1</v>
      </c>
      <c r="G23" s="111">
        <f>((C23*$C$1)+(D23*$D$1)+(E23*$E$1)+(F23*$F$1))</f>
        <v>0.8</v>
      </c>
      <c r="H23" s="97"/>
      <c r="I23" s="112">
        <f>SUM(C23:F23)</f>
        <v>3.5</v>
      </c>
      <c r="J23" s="113">
        <f>I23/$J$2</f>
        <v>0.875</v>
      </c>
      <c r="K23" s="100"/>
      <c r="L23" s="114"/>
      <c r="M23" s="115" t="s">
        <v>443</v>
      </c>
      <c r="N23" s="116" t="s">
        <v>443</v>
      </c>
      <c r="O23" s="100"/>
      <c r="P23" s="465" t="s">
        <v>499</v>
      </c>
      <c r="Q23" s="481"/>
      <c r="R23" s="481"/>
      <c r="S23" s="474"/>
      <c r="T23" s="123"/>
      <c r="U23" s="123"/>
      <c r="V23" s="100"/>
      <c r="W23" s="100"/>
    </row>
    <row r="24" spans="2:23" ht="15.75" customHeight="1">
      <c r="B24" s="92" t="s">
        <v>412</v>
      </c>
      <c r="C24" s="108">
        <f>_xlfn.XLOOKUP(B24,[1]Basileia!$A$2:$A$1010,[1]Basileia!$D$2:$D$1010)</f>
        <v>0.5</v>
      </c>
      <c r="D24" s="109">
        <f>_xlfn.XLOOKUP(B24,[1]Imobilizado!$A$2:$A$337,[1]Imobilizado!$D$2:$D$337)</f>
        <v>1</v>
      </c>
      <c r="E24" s="109">
        <f>_xlfn.XLOOKUP(B24,'[1]Lucro Líquido'!$A$2:$A$995,'[1]Lucro Líquido'!$D$2:$D$995)</f>
        <v>1</v>
      </c>
      <c r="F24" s="110">
        <f>_xlfn.XLOOKUP(B24,'[1]Receita '!$A$2:$A$691,'[1]Receita '!$D$2:$D$691)</f>
        <v>1</v>
      </c>
      <c r="G24" s="111">
        <f>((C24*$C$1)+(D24*$D$1)+(E24*$E$1)+(F24*$F$1))</f>
        <v>0.8</v>
      </c>
      <c r="H24" s="97"/>
      <c r="I24" s="112">
        <f>SUM(C24:F24)</f>
        <v>3.5</v>
      </c>
      <c r="J24" s="113">
        <f>I24/$J$2</f>
        <v>0.875</v>
      </c>
      <c r="K24" s="100"/>
      <c r="L24" s="114" t="s">
        <v>443</v>
      </c>
      <c r="M24" s="115"/>
      <c r="N24" s="116" t="s">
        <v>443</v>
      </c>
      <c r="O24" s="100"/>
      <c r="P24" s="466" t="s">
        <v>500</v>
      </c>
      <c r="Q24" s="480"/>
      <c r="R24" s="480"/>
      <c r="S24" s="477"/>
      <c r="T24" s="123"/>
      <c r="U24" s="123"/>
      <c r="V24" s="100"/>
      <c r="W24" s="100"/>
    </row>
    <row r="25" spans="2:23" ht="15.75" customHeight="1">
      <c r="B25" s="92" t="s">
        <v>501</v>
      </c>
      <c r="C25" s="108">
        <f>_xlfn.XLOOKUP(B25,[1]Basileia!$A$2:$A$1010,[1]Basileia!$D$2:$D$1010)</f>
        <v>0.5</v>
      </c>
      <c r="D25" s="109">
        <f>_xlfn.XLOOKUP(B25,[1]Imobilizado!$A$2:$A$337,[1]Imobilizado!$D$2:$D$337)</f>
        <v>1</v>
      </c>
      <c r="E25" s="109">
        <f>_xlfn.XLOOKUP(B25,'[1]Lucro Líquido'!$A$2:$A$995,'[1]Lucro Líquido'!$D$2:$D$995)</f>
        <v>1</v>
      </c>
      <c r="F25" s="110">
        <f>_xlfn.XLOOKUP(B25,'[1]Receita '!$A$2:$A$691,'[1]Receita '!$D$2:$D$691)</f>
        <v>1</v>
      </c>
      <c r="G25" s="111">
        <f>((C25*$C$1)+(D25*$D$1)+(E25*$E$1)+(F25*$F$1))</f>
        <v>0.8</v>
      </c>
      <c r="H25" s="97"/>
      <c r="I25" s="112">
        <f>SUM(C25:F25)</f>
        <v>3.5</v>
      </c>
      <c r="J25" s="113">
        <f>I25/$J$2</f>
        <v>0.875</v>
      </c>
      <c r="K25" s="100"/>
      <c r="L25" s="114" t="s">
        <v>443</v>
      </c>
      <c r="M25" s="115" t="s">
        <v>443</v>
      </c>
      <c r="N25" s="116" t="s">
        <v>443</v>
      </c>
      <c r="O25" s="100"/>
      <c r="P25" s="100"/>
      <c r="Q25" s="100"/>
      <c r="R25" s="100"/>
      <c r="S25" s="100"/>
      <c r="T25" s="100"/>
      <c r="U25" s="100"/>
      <c r="V25" s="100"/>
      <c r="W25" s="100"/>
    </row>
    <row r="26" spans="2:23" ht="15.75" customHeight="1">
      <c r="B26" s="92" t="s">
        <v>413</v>
      </c>
      <c r="C26" s="108">
        <f>_xlfn.XLOOKUP(B26,[1]Basileia!$A$2:$A$1010,[1]Basileia!$D$2:$D$1010)</f>
        <v>0.5</v>
      </c>
      <c r="D26" s="109">
        <f>_xlfn.XLOOKUP(B26,[1]Imobilizado!$A$2:$A$337,[1]Imobilizado!$D$2:$D$337)</f>
        <v>1</v>
      </c>
      <c r="E26" s="109">
        <f>_xlfn.XLOOKUP(B26,'[1]Lucro Líquido'!$A$2:$A$995,'[1]Lucro Líquido'!$D$2:$D$995)</f>
        <v>1</v>
      </c>
      <c r="F26" s="110">
        <f>_xlfn.XLOOKUP(B26,'[1]Receita '!$A$2:$A$691,'[1]Receita '!$D$2:$D$691)</f>
        <v>1</v>
      </c>
      <c r="G26" s="111">
        <f>((C26*$C$1)+(D26*$D$1)+(E26*$E$1)+(F26*$F$1))</f>
        <v>0.8</v>
      </c>
      <c r="H26" s="97"/>
      <c r="I26" s="112">
        <f>SUM(C26:F26)</f>
        <v>3.5</v>
      </c>
      <c r="J26" s="113">
        <f>I26/$J$2</f>
        <v>0.875</v>
      </c>
      <c r="K26" s="100"/>
      <c r="L26" s="114" t="s">
        <v>443</v>
      </c>
      <c r="M26" s="115" t="s">
        <v>443</v>
      </c>
      <c r="N26" s="116" t="s">
        <v>443</v>
      </c>
      <c r="O26" s="100"/>
      <c r="P26" s="100"/>
      <c r="Q26" s="100"/>
      <c r="R26" s="100"/>
      <c r="S26" s="100"/>
      <c r="T26" s="100"/>
      <c r="U26" s="100"/>
      <c r="V26" s="100"/>
      <c r="W26" s="100"/>
    </row>
    <row r="27" spans="2:23" ht="15.75" customHeight="1">
      <c r="B27" s="92" t="s">
        <v>414</v>
      </c>
      <c r="C27" s="108">
        <f>_xlfn.XLOOKUP(B27,[1]Basileia!$A$2:$A$1010,[1]Basileia!$D$2:$D$1010)</f>
        <v>0.5</v>
      </c>
      <c r="D27" s="109">
        <f>_xlfn.XLOOKUP(B27,[1]Imobilizado!$A$2:$A$337,[1]Imobilizado!$D$2:$D$337)</f>
        <v>1</v>
      </c>
      <c r="E27" s="109">
        <f>_xlfn.XLOOKUP(B27,'[1]Lucro Líquido'!$A$2:$A$995,'[1]Lucro Líquido'!$D$2:$D$995)</f>
        <v>1</v>
      </c>
      <c r="F27" s="110">
        <f>_xlfn.XLOOKUP(B27,'[1]Receita '!$A$2:$A$691,'[1]Receita '!$D$2:$D$691)</f>
        <v>1</v>
      </c>
      <c r="G27" s="111">
        <f>((C27*$C$1)+(D27*$D$1)+(E27*$E$1)+(F27*$F$1))</f>
        <v>0.8</v>
      </c>
      <c r="H27" s="97"/>
      <c r="I27" s="112">
        <f>SUM(C27:F27)</f>
        <v>3.5</v>
      </c>
      <c r="J27" s="113">
        <f>I27/$J$2</f>
        <v>0.875</v>
      </c>
      <c r="K27" s="100"/>
      <c r="L27" s="114" t="s">
        <v>443</v>
      </c>
      <c r="M27" s="115" t="s">
        <v>443</v>
      </c>
      <c r="N27" s="116" t="s">
        <v>443</v>
      </c>
      <c r="O27" s="100"/>
      <c r="P27" s="100"/>
      <c r="Q27" s="100"/>
      <c r="R27" s="100"/>
      <c r="S27" s="100"/>
      <c r="T27" s="100"/>
      <c r="U27" s="100"/>
      <c r="V27" s="100"/>
      <c r="W27" s="100"/>
    </row>
    <row r="28" spans="2:23" ht="15.75" customHeight="1">
      <c r="B28" s="92" t="s">
        <v>415</v>
      </c>
      <c r="C28" s="108">
        <f>_xlfn.XLOOKUP(B28,[1]Basileia!$A$2:$A$1010,[1]Basileia!$D$2:$D$1010)</f>
        <v>0.5</v>
      </c>
      <c r="D28" s="109">
        <f>_xlfn.XLOOKUP(B28,[1]Imobilizado!$A$2:$A$337,[1]Imobilizado!$D$2:$D$337)</f>
        <v>1</v>
      </c>
      <c r="E28" s="109">
        <f>_xlfn.XLOOKUP(B28,'[1]Lucro Líquido'!$A$2:$A$995,'[1]Lucro Líquido'!$D$2:$D$995)</f>
        <v>1</v>
      </c>
      <c r="F28" s="110">
        <f>_xlfn.XLOOKUP(B28,'[1]Receita '!$A$2:$A$691,'[1]Receita '!$D$2:$D$691)</f>
        <v>1</v>
      </c>
      <c r="G28" s="111">
        <f>((C28*$C$1)+(D28*$D$1)+(E28*$E$1)+(F28*$F$1))</f>
        <v>0.8</v>
      </c>
      <c r="H28" s="97"/>
      <c r="I28" s="112">
        <f>SUM(C28:F28)</f>
        <v>3.5</v>
      </c>
      <c r="J28" s="113">
        <f>I28/$J$2</f>
        <v>0.875</v>
      </c>
      <c r="K28" s="100"/>
      <c r="L28" s="114"/>
      <c r="M28" s="115" t="s">
        <v>443</v>
      </c>
      <c r="N28" s="116" t="s">
        <v>443</v>
      </c>
      <c r="O28" s="100"/>
      <c r="P28" s="100"/>
      <c r="Q28" s="100"/>
      <c r="R28" s="100"/>
      <c r="S28" s="100"/>
      <c r="T28" s="100"/>
      <c r="U28" s="100"/>
      <c r="V28" s="100"/>
      <c r="W28" s="100"/>
    </row>
    <row r="29" spans="2:23" ht="15.75" customHeight="1">
      <c r="B29" s="92" t="s">
        <v>416</v>
      </c>
      <c r="C29" s="108">
        <f>_xlfn.XLOOKUP(B29,[1]Basileia!$A$2:$A$1010,[1]Basileia!$D$2:$D$1010)</f>
        <v>0.5</v>
      </c>
      <c r="D29" s="109">
        <f>_xlfn.XLOOKUP(B29,[1]Imobilizado!$A$2:$A$337,[1]Imobilizado!$D$2:$D$337)</f>
        <v>1</v>
      </c>
      <c r="E29" s="109">
        <f>_xlfn.XLOOKUP(B29,'[1]Lucro Líquido'!$A$2:$A$995,'[1]Lucro Líquido'!$D$2:$D$995)</f>
        <v>1</v>
      </c>
      <c r="F29" s="110">
        <f>_xlfn.XLOOKUP(B29,'[1]Receita '!$A$2:$A$691,'[1]Receita '!$D$2:$D$691)</f>
        <v>1</v>
      </c>
      <c r="G29" s="111">
        <f>((C29*$C$1)+(D29*$D$1)+(E29*$E$1)+(F29*$F$1))</f>
        <v>0.8</v>
      </c>
      <c r="H29" s="97"/>
      <c r="I29" s="112">
        <f>SUM(C29:F29)</f>
        <v>3.5</v>
      </c>
      <c r="J29" s="113">
        <f>I29/$J$2</f>
        <v>0.875</v>
      </c>
      <c r="K29" s="100"/>
      <c r="L29" s="114" t="s">
        <v>443</v>
      </c>
      <c r="M29" s="115"/>
      <c r="N29" s="116"/>
      <c r="O29" s="100"/>
      <c r="P29" s="100"/>
      <c r="Q29" s="100"/>
      <c r="R29" s="100"/>
      <c r="S29" s="100"/>
      <c r="T29" s="100"/>
      <c r="U29" s="100"/>
      <c r="V29" s="100"/>
      <c r="W29" s="100"/>
    </row>
    <row r="30" spans="2:23" ht="15.75" customHeight="1">
      <c r="B30" s="92" t="s">
        <v>502</v>
      </c>
      <c r="C30" s="108">
        <f>_xlfn.XLOOKUP(B30,[1]Basileia!$A$2:$A$1010,[1]Basileia!$D$2:$D$1010)</f>
        <v>0.5</v>
      </c>
      <c r="D30" s="109">
        <f>_xlfn.XLOOKUP(B30,[1]Imobilizado!$A$2:$A$337,[1]Imobilizado!$D$2:$D$337)</f>
        <v>1</v>
      </c>
      <c r="E30" s="109">
        <f>_xlfn.XLOOKUP(B30,'[1]Lucro Líquido'!$A$2:$A$995,'[1]Lucro Líquido'!$D$2:$D$995)</f>
        <v>1</v>
      </c>
      <c r="F30" s="110">
        <f>_xlfn.XLOOKUP(B30,'[1]Receita '!$A$2:$A$691,'[1]Receita '!$D$2:$D$691)</f>
        <v>1</v>
      </c>
      <c r="G30" s="111">
        <f>((C30*$C$1)+(D30*$D$1)+(E30*$E$1)+(F30*$F$1))</f>
        <v>0.8</v>
      </c>
      <c r="H30" s="97"/>
      <c r="I30" s="112">
        <f>SUM(C30:F30)</f>
        <v>3.5</v>
      </c>
      <c r="J30" s="113">
        <f>I30/$J$2</f>
        <v>0.875</v>
      </c>
      <c r="K30" s="100"/>
      <c r="L30" s="114" t="s">
        <v>450</v>
      </c>
      <c r="M30" s="115" t="s">
        <v>450</v>
      </c>
      <c r="N30" s="116" t="s">
        <v>471</v>
      </c>
      <c r="O30" s="100"/>
      <c r="P30" s="100"/>
      <c r="Q30" s="100"/>
      <c r="R30" s="100"/>
      <c r="S30" s="100"/>
      <c r="T30" s="100"/>
      <c r="U30" s="100"/>
      <c r="V30" s="100"/>
      <c r="W30" s="100"/>
    </row>
    <row r="31" spans="2:23" ht="15.75" customHeight="1">
      <c r="B31" s="92" t="s">
        <v>503</v>
      </c>
      <c r="C31" s="108">
        <f>_xlfn.XLOOKUP(B31,[1]Basileia!$A$2:$A$1010,[1]Basileia!$D$2:$D$1010)</f>
        <v>0.5</v>
      </c>
      <c r="D31" s="109">
        <f>_xlfn.XLOOKUP(B31,[1]Imobilizado!$A$2:$A$337,[1]Imobilizado!$D$2:$D$337)</f>
        <v>1</v>
      </c>
      <c r="E31" s="109">
        <f>_xlfn.XLOOKUP(B31,'[1]Lucro Líquido'!$A$2:$A$995,'[1]Lucro Líquido'!$D$2:$D$995)</f>
        <v>1</v>
      </c>
      <c r="F31" s="110">
        <f>_xlfn.XLOOKUP(B31,'[1]Receita '!$A$2:$A$691,'[1]Receita '!$D$2:$D$691)</f>
        <v>1</v>
      </c>
      <c r="G31" s="111">
        <f>((C31*$C$1)+(D31*$D$1)+(E31*$E$1)+(F31*$F$1))</f>
        <v>0.8</v>
      </c>
      <c r="H31" s="97"/>
      <c r="I31" s="112">
        <f>SUM(C31:F31)</f>
        <v>3.5</v>
      </c>
      <c r="J31" s="113">
        <f>I31/$J$2</f>
        <v>0.875</v>
      </c>
      <c r="K31" s="100"/>
      <c r="L31" s="114"/>
      <c r="M31" s="115" t="s">
        <v>443</v>
      </c>
      <c r="N31" s="116" t="s">
        <v>450</v>
      </c>
      <c r="O31" s="100"/>
      <c r="P31" s="100"/>
      <c r="Q31" s="100"/>
      <c r="R31" s="100"/>
      <c r="S31" s="100"/>
      <c r="T31" s="100"/>
      <c r="U31" s="100"/>
      <c r="V31" s="100"/>
      <c r="W31" s="100"/>
    </row>
    <row r="32" spans="2:23" ht="15.75" customHeight="1">
      <c r="B32" s="92" t="s">
        <v>504</v>
      </c>
      <c r="C32" s="108">
        <f>_xlfn.XLOOKUP(B32,[1]Basileia!$A$2:$A$1010,[1]Basileia!$D$2:$D$1010)</f>
        <v>0.5</v>
      </c>
      <c r="D32" s="109">
        <f>_xlfn.XLOOKUP(B32,[1]Imobilizado!$A$2:$A$337,[1]Imobilizado!$D$2:$D$337)</f>
        <v>1</v>
      </c>
      <c r="E32" s="109">
        <f>_xlfn.XLOOKUP(B32,'[1]Lucro Líquido'!$A$2:$A$995,'[1]Lucro Líquido'!$D$2:$D$995)</f>
        <v>1</v>
      </c>
      <c r="F32" s="110">
        <f>_xlfn.XLOOKUP(B32,'[1]Receita '!$A$2:$A$691,'[1]Receita '!$D$2:$D$691)</f>
        <v>1</v>
      </c>
      <c r="G32" s="111">
        <f>((C32*$C$1)+(D32*$D$1)+(E32*$E$1)+(F32*$F$1))</f>
        <v>0.8</v>
      </c>
      <c r="H32" s="97"/>
      <c r="I32" s="112">
        <f>SUM(C32:F32)</f>
        <v>3.5</v>
      </c>
      <c r="J32" s="113">
        <f>I32/$J$2</f>
        <v>0.875</v>
      </c>
      <c r="K32" s="100"/>
      <c r="L32" s="114"/>
      <c r="M32" s="115" t="s">
        <v>450</v>
      </c>
      <c r="N32" s="116" t="s">
        <v>450</v>
      </c>
      <c r="O32" s="100"/>
      <c r="P32" s="100"/>
      <c r="Q32" s="100"/>
      <c r="R32" s="100"/>
      <c r="S32" s="100"/>
      <c r="T32" s="100"/>
      <c r="U32" s="100"/>
      <c r="V32" s="100"/>
      <c r="W32" s="100"/>
    </row>
    <row r="33" spans="2:23" ht="15.75" customHeight="1">
      <c r="B33" s="92" t="s">
        <v>505</v>
      </c>
      <c r="C33" s="108">
        <f>_xlfn.XLOOKUP(B33,[1]Basileia!$A$2:$A$1010,[1]Basileia!$D$2:$D$1010)</f>
        <v>0.5</v>
      </c>
      <c r="D33" s="109">
        <f>_xlfn.XLOOKUP(B33,[1]Imobilizado!$A$2:$A$337,[1]Imobilizado!$D$2:$D$337)</f>
        <v>1</v>
      </c>
      <c r="E33" s="109">
        <f>_xlfn.XLOOKUP(B33,'[1]Lucro Líquido'!$A$2:$A$995,'[1]Lucro Líquido'!$D$2:$D$995)</f>
        <v>1</v>
      </c>
      <c r="F33" s="110">
        <f>_xlfn.XLOOKUP(B33,'[1]Receita '!$A$2:$A$691,'[1]Receita '!$D$2:$D$691)</f>
        <v>1</v>
      </c>
      <c r="G33" s="111">
        <f>((C33*$C$1)+(D33*$D$1)+(E33*$E$1)+(F33*$F$1))</f>
        <v>0.8</v>
      </c>
      <c r="H33" s="97"/>
      <c r="I33" s="112">
        <f>SUM(C33:F33)</f>
        <v>3.5</v>
      </c>
      <c r="J33" s="113">
        <f>I33/$J$2</f>
        <v>0.875</v>
      </c>
      <c r="K33" s="100"/>
      <c r="L33" s="114" t="s">
        <v>443</v>
      </c>
      <c r="M33" s="115"/>
      <c r="N33" s="116"/>
      <c r="O33" s="100"/>
      <c r="P33" s="100"/>
      <c r="Q33" s="100"/>
      <c r="R33" s="100"/>
      <c r="S33" s="100"/>
      <c r="T33" s="100"/>
      <c r="U33" s="100"/>
      <c r="V33" s="100"/>
      <c r="W33" s="100"/>
    </row>
    <row r="34" spans="2:23" ht="15.75" customHeight="1">
      <c r="B34" s="92" t="s">
        <v>417</v>
      </c>
      <c r="C34" s="108">
        <f>_xlfn.XLOOKUP(B34,[1]Basileia!$A$2:$A$1010,[1]Basileia!$D$2:$D$1010)</f>
        <v>0.5</v>
      </c>
      <c r="D34" s="109">
        <f>_xlfn.XLOOKUP(B34,[1]Imobilizado!$A$2:$A$337,[1]Imobilizado!$D$2:$D$337)</f>
        <v>1</v>
      </c>
      <c r="E34" s="109">
        <f>_xlfn.XLOOKUP(B34,'[1]Lucro Líquido'!$A$2:$A$995,'[1]Lucro Líquido'!$D$2:$D$995)</f>
        <v>1</v>
      </c>
      <c r="F34" s="110">
        <f>_xlfn.XLOOKUP(B34,'[1]Receita '!$A$2:$A$691,'[1]Receita '!$D$2:$D$691)</f>
        <v>1</v>
      </c>
      <c r="G34" s="111">
        <f>((C34*$C$1)+(D34*$D$1)+(E34*$E$1)+(F34*$F$1))</f>
        <v>0.8</v>
      </c>
      <c r="H34" s="97"/>
      <c r="I34" s="112">
        <f>SUM(C34:F34)</f>
        <v>3.5</v>
      </c>
      <c r="J34" s="113">
        <f>I34/$J$2</f>
        <v>0.875</v>
      </c>
      <c r="K34" s="100"/>
      <c r="L34" s="114" t="s">
        <v>443</v>
      </c>
      <c r="M34" s="115"/>
      <c r="N34" s="116"/>
      <c r="O34" s="100"/>
      <c r="P34" s="100"/>
      <c r="Q34" s="100"/>
      <c r="R34" s="100"/>
      <c r="S34" s="100"/>
      <c r="T34" s="100"/>
      <c r="U34" s="100"/>
      <c r="V34" s="100"/>
      <c r="W34" s="100"/>
    </row>
    <row r="35" spans="2:23" ht="15.75" customHeight="1">
      <c r="B35" s="92" t="s">
        <v>506</v>
      </c>
      <c r="C35" s="108">
        <f>_xlfn.XLOOKUP(B35,[1]Basileia!$A$2:$A$1010,[1]Basileia!$D$2:$D$1010)</f>
        <v>0.5</v>
      </c>
      <c r="D35" s="109">
        <f>_xlfn.XLOOKUP(B35,[1]Imobilizado!$A$2:$A$337,[1]Imobilizado!$D$2:$D$337)</f>
        <v>1</v>
      </c>
      <c r="E35" s="109">
        <f>_xlfn.XLOOKUP(B35,'[1]Lucro Líquido'!$A$2:$A$995,'[1]Lucro Líquido'!$D$2:$D$995)</f>
        <v>1</v>
      </c>
      <c r="F35" s="110">
        <f>_xlfn.XLOOKUP(B35,'[1]Receita '!$A$2:$A$691,'[1]Receita '!$D$2:$D$691)</f>
        <v>1</v>
      </c>
      <c r="G35" s="111">
        <f>((C35*$C$1)+(D35*$D$1)+(E35*$E$1)+(F35*$F$1))</f>
        <v>0.8</v>
      </c>
      <c r="H35" s="97"/>
      <c r="I35" s="112">
        <f>SUM(C35:F35)</f>
        <v>3.5</v>
      </c>
      <c r="J35" s="113">
        <f>I35/$J$2</f>
        <v>0.875</v>
      </c>
      <c r="K35" s="100"/>
      <c r="L35" s="114" t="s">
        <v>471</v>
      </c>
      <c r="M35" s="115" t="s">
        <v>471</v>
      </c>
      <c r="N35" s="116"/>
      <c r="O35" s="100"/>
      <c r="P35" s="100"/>
      <c r="Q35" s="100"/>
      <c r="R35" s="100"/>
      <c r="S35" s="100"/>
      <c r="T35" s="100"/>
      <c r="U35" s="100"/>
      <c r="V35" s="100"/>
      <c r="W35" s="100"/>
    </row>
    <row r="36" spans="2:23" ht="15.75" customHeight="1">
      <c r="B36" s="92" t="s">
        <v>507</v>
      </c>
      <c r="C36" s="108">
        <f>_xlfn.XLOOKUP(B36,[1]Basileia!$A$2:$A$1010,[1]Basileia!$D$2:$D$1010)</f>
        <v>0.5</v>
      </c>
      <c r="D36" s="109">
        <f>_xlfn.XLOOKUP(B36,[1]Imobilizado!$A$2:$A$337,[1]Imobilizado!$D$2:$D$337)</f>
        <v>1</v>
      </c>
      <c r="E36" s="109">
        <f>_xlfn.XLOOKUP(B36,'[1]Lucro Líquido'!$A$2:$A$995,'[1]Lucro Líquido'!$D$2:$D$995)</f>
        <v>1</v>
      </c>
      <c r="F36" s="110">
        <f>_xlfn.XLOOKUP(B36,'[1]Receita '!$A$2:$A$691,'[1]Receita '!$D$2:$D$691)</f>
        <v>1</v>
      </c>
      <c r="G36" s="111">
        <f>((C36*$C$1)+(D36*$D$1)+(E36*$E$1)+(F36*$F$1))</f>
        <v>0.8</v>
      </c>
      <c r="H36" s="97"/>
      <c r="I36" s="112">
        <f>SUM(C36:F36)</f>
        <v>3.5</v>
      </c>
      <c r="J36" s="113">
        <f>I36/$J$2</f>
        <v>0.875</v>
      </c>
      <c r="K36" s="100"/>
      <c r="L36" s="114" t="s">
        <v>443</v>
      </c>
      <c r="M36" s="115"/>
      <c r="N36" s="116" t="s">
        <v>443</v>
      </c>
      <c r="O36" s="100"/>
      <c r="P36" s="100"/>
      <c r="Q36" s="100"/>
      <c r="R36" s="100"/>
      <c r="S36" s="100"/>
      <c r="T36" s="100"/>
      <c r="U36" s="100"/>
      <c r="V36" s="100"/>
      <c r="W36" s="100"/>
    </row>
    <row r="37" spans="2:23" ht="15.75" customHeight="1">
      <c r="B37" s="92" t="s">
        <v>508</v>
      </c>
      <c r="C37" s="108">
        <f>_xlfn.XLOOKUP(B37,[1]Basileia!$A$2:$A$1010,[1]Basileia!$D$2:$D$1010)</f>
        <v>0.5</v>
      </c>
      <c r="D37" s="109">
        <f>_xlfn.XLOOKUP(B37,[1]Imobilizado!$A$2:$A$337,[1]Imobilizado!$D$2:$D$337)</f>
        <v>1</v>
      </c>
      <c r="E37" s="109">
        <f>_xlfn.XLOOKUP(B37,'[1]Lucro Líquido'!$A$2:$A$995,'[1]Lucro Líquido'!$D$2:$D$995)</f>
        <v>1</v>
      </c>
      <c r="F37" s="110">
        <f>_xlfn.XLOOKUP(B37,'[1]Receita '!$A$2:$A$691,'[1]Receita '!$D$2:$D$691)</f>
        <v>1</v>
      </c>
      <c r="G37" s="111">
        <f>((C37*$C$1)+(D37*$D$1)+(E37*$E$1)+(F37*$F$1))</f>
        <v>0.8</v>
      </c>
      <c r="H37" s="97"/>
      <c r="I37" s="112">
        <f>SUM(C37:F37)</f>
        <v>3.5</v>
      </c>
      <c r="J37" s="113">
        <f>I37/$J$2</f>
        <v>0.875</v>
      </c>
      <c r="K37" s="100"/>
      <c r="L37" s="114" t="s">
        <v>443</v>
      </c>
      <c r="M37" s="115"/>
      <c r="N37" s="116" t="s">
        <v>471</v>
      </c>
      <c r="O37" s="100"/>
      <c r="P37" s="100"/>
      <c r="Q37" s="100"/>
      <c r="R37" s="100"/>
      <c r="S37" s="100"/>
      <c r="T37" s="100"/>
      <c r="U37" s="100"/>
      <c r="V37" s="100"/>
      <c r="W37" s="100"/>
    </row>
    <row r="38" spans="2:23" ht="15.75" customHeight="1">
      <c r="B38" s="92" t="s">
        <v>509</v>
      </c>
      <c r="C38" s="108">
        <f>_xlfn.XLOOKUP(B38,[1]Basileia!$A$2:$A$1010,[1]Basileia!$D$2:$D$1010)</f>
        <v>0.5</v>
      </c>
      <c r="D38" s="109">
        <f>_xlfn.XLOOKUP(B38,[1]Imobilizado!$A$2:$A$337,[1]Imobilizado!$D$2:$D$337)</f>
        <v>1</v>
      </c>
      <c r="E38" s="109">
        <f>_xlfn.XLOOKUP(B38,'[1]Lucro Líquido'!$A$2:$A$995,'[1]Lucro Líquido'!$D$2:$D$995)</f>
        <v>1</v>
      </c>
      <c r="F38" s="110">
        <f>_xlfn.XLOOKUP(B38,'[1]Receita '!$A$2:$A$691,'[1]Receita '!$D$2:$D$691)</f>
        <v>1</v>
      </c>
      <c r="G38" s="111">
        <f>((C38*$C$1)+(D38*$D$1)+(E38*$E$1)+(F38*$F$1))</f>
        <v>0.8</v>
      </c>
      <c r="H38" s="97"/>
      <c r="I38" s="112">
        <f>SUM(C38:F38)</f>
        <v>3.5</v>
      </c>
      <c r="J38" s="113">
        <f>I38/$J$2</f>
        <v>0.875</v>
      </c>
      <c r="K38" s="100"/>
      <c r="L38" s="114" t="s">
        <v>443</v>
      </c>
      <c r="M38" s="115"/>
      <c r="N38" s="116"/>
      <c r="O38" s="100"/>
      <c r="P38" s="100"/>
      <c r="Q38" s="100"/>
      <c r="R38" s="100"/>
      <c r="S38" s="100"/>
      <c r="T38" s="100"/>
      <c r="U38" s="100"/>
      <c r="V38" s="100"/>
      <c r="W38" s="100"/>
    </row>
    <row r="39" spans="2:23" ht="15.75" customHeight="1">
      <c r="B39" s="92" t="s">
        <v>418</v>
      </c>
      <c r="C39" s="108">
        <f>_xlfn.XLOOKUP(B39,[1]Basileia!$A$2:$A$1010,[1]Basileia!$D$2:$D$1010)</f>
        <v>0.5</v>
      </c>
      <c r="D39" s="109">
        <f>_xlfn.XLOOKUP(B39,[1]Imobilizado!$A$2:$A$337,[1]Imobilizado!$D$2:$D$337)</f>
        <v>1</v>
      </c>
      <c r="E39" s="109">
        <f>_xlfn.XLOOKUP(B39,'[1]Lucro Líquido'!$A$2:$A$995,'[1]Lucro Líquido'!$D$2:$D$995)</f>
        <v>1</v>
      </c>
      <c r="F39" s="110">
        <f>_xlfn.XLOOKUP(B39,'[1]Receita '!$A$2:$A$691,'[1]Receita '!$D$2:$D$691)</f>
        <v>1</v>
      </c>
      <c r="G39" s="111">
        <f>((C39*$C$1)+(D39*$D$1)+(E39*$E$1)+(F39*$F$1))</f>
        <v>0.8</v>
      </c>
      <c r="H39" s="97"/>
      <c r="I39" s="112">
        <f>SUM(C39:F39)</f>
        <v>3.5</v>
      </c>
      <c r="J39" s="113">
        <f>I39/$J$2</f>
        <v>0.875</v>
      </c>
      <c r="K39" s="100"/>
      <c r="L39" s="114"/>
      <c r="M39" s="115" t="s">
        <v>443</v>
      </c>
      <c r="N39" s="116"/>
      <c r="O39" s="100"/>
      <c r="P39" s="100"/>
      <c r="Q39" s="100"/>
      <c r="R39" s="100"/>
      <c r="S39" s="100"/>
      <c r="T39" s="100"/>
      <c r="U39" s="100"/>
      <c r="V39" s="100"/>
      <c r="W39" s="100"/>
    </row>
    <row r="40" spans="2:23" ht="15.75" customHeight="1">
      <c r="B40" s="92" t="s">
        <v>510</v>
      </c>
      <c r="C40" s="108">
        <f>_xlfn.XLOOKUP(B40,[1]Basileia!$A$2:$A$1010,[1]Basileia!$D$2:$D$1010)</f>
        <v>0.5</v>
      </c>
      <c r="D40" s="109">
        <f>_xlfn.XLOOKUP(B40,[1]Imobilizado!$A$2:$A$337,[1]Imobilizado!$D$2:$D$337)</f>
        <v>1</v>
      </c>
      <c r="E40" s="109">
        <f>_xlfn.XLOOKUP(B40,'[1]Lucro Líquido'!$A$2:$A$995,'[1]Lucro Líquido'!$D$2:$D$995)</f>
        <v>1</v>
      </c>
      <c r="F40" s="110">
        <f>_xlfn.XLOOKUP(B40,'[1]Receita '!$A$2:$A$691,'[1]Receita '!$D$2:$D$691)</f>
        <v>1</v>
      </c>
      <c r="G40" s="111">
        <f>((C40*$C$1)+(D40*$D$1)+(E40*$E$1)+(F40*$F$1))</f>
        <v>0.8</v>
      </c>
      <c r="H40" s="97"/>
      <c r="I40" s="112">
        <f>SUM(C40:F40)</f>
        <v>3.5</v>
      </c>
      <c r="J40" s="113">
        <f>I40/$J$2</f>
        <v>0.875</v>
      </c>
      <c r="K40" s="100"/>
      <c r="L40" s="114"/>
      <c r="M40" s="115"/>
      <c r="N40" s="116" t="s">
        <v>443</v>
      </c>
      <c r="O40" s="100"/>
      <c r="P40" s="100"/>
      <c r="Q40" s="100"/>
      <c r="R40" s="100"/>
      <c r="S40" s="100"/>
      <c r="T40" s="100"/>
      <c r="U40" s="100"/>
      <c r="V40" s="100"/>
      <c r="W40" s="100"/>
    </row>
    <row r="41" spans="2:23" ht="15.75" customHeight="1">
      <c r="B41" s="92" t="s">
        <v>511</v>
      </c>
      <c r="C41" s="108">
        <f>_xlfn.XLOOKUP(B41,[1]Basileia!$A$2:$A$1010,[1]Basileia!$D$2:$D$1010)</f>
        <v>0.5</v>
      </c>
      <c r="D41" s="109">
        <f>_xlfn.XLOOKUP(B41,[1]Imobilizado!$A$2:$A$337,[1]Imobilizado!$D$2:$D$337)</f>
        <v>1</v>
      </c>
      <c r="E41" s="109">
        <f>_xlfn.XLOOKUP(B41,'[1]Lucro Líquido'!$A$2:$A$995,'[1]Lucro Líquido'!$D$2:$D$995)</f>
        <v>1</v>
      </c>
      <c r="F41" s="110">
        <f>_xlfn.XLOOKUP(B41,'[1]Receita '!$A$2:$A$691,'[1]Receita '!$D$2:$D$691)</f>
        <v>1</v>
      </c>
      <c r="G41" s="111">
        <f>((C41*$C$1)+(D41*$D$1)+(E41*$E$1)+(F41*$F$1))</f>
        <v>0.8</v>
      </c>
      <c r="H41" s="97"/>
      <c r="I41" s="112">
        <f>SUM(C41:F41)</f>
        <v>3.5</v>
      </c>
      <c r="J41" s="113">
        <f>I41/$J$2</f>
        <v>0.875</v>
      </c>
      <c r="K41" s="100"/>
      <c r="L41" s="114" t="s">
        <v>443</v>
      </c>
      <c r="M41" s="115"/>
      <c r="N41" s="116"/>
      <c r="O41" s="100"/>
      <c r="P41" s="100"/>
      <c r="Q41" s="100"/>
      <c r="R41" s="100"/>
      <c r="S41" s="100"/>
      <c r="T41" s="100"/>
      <c r="U41" s="100"/>
      <c r="V41" s="100"/>
      <c r="W41" s="100"/>
    </row>
    <row r="42" spans="2:23" ht="15.75" customHeight="1">
      <c r="B42" s="92" t="s">
        <v>512</v>
      </c>
      <c r="C42" s="108">
        <f>_xlfn.XLOOKUP(B42,[1]Basileia!$A$2:$A$1010,[1]Basileia!$D$2:$D$1010)</f>
        <v>0.5</v>
      </c>
      <c r="D42" s="109">
        <f>_xlfn.XLOOKUP(B42,[1]Imobilizado!$A$2:$A$337,[1]Imobilizado!$D$2:$D$337)</f>
        <v>1</v>
      </c>
      <c r="E42" s="109">
        <f>_xlfn.XLOOKUP(B42,'[1]Lucro Líquido'!$A$2:$A$995,'[1]Lucro Líquido'!$D$2:$D$995)</f>
        <v>1</v>
      </c>
      <c r="F42" s="110">
        <f>_xlfn.XLOOKUP(B42,'[1]Receita '!$A$2:$A$691,'[1]Receita '!$D$2:$D$691)</f>
        <v>1</v>
      </c>
      <c r="G42" s="111">
        <f>((C42*$C$1)+(D42*$D$1)+(E42*$E$1)+(F42*$F$1))</f>
        <v>0.8</v>
      </c>
      <c r="H42" s="97"/>
      <c r="I42" s="112">
        <f>SUM(C42:F42)</f>
        <v>3.5</v>
      </c>
      <c r="J42" s="113">
        <f>I42/$J$2</f>
        <v>0.875</v>
      </c>
      <c r="K42" s="100"/>
      <c r="L42" s="114" t="s">
        <v>443</v>
      </c>
      <c r="M42" s="115"/>
      <c r="N42" s="116"/>
      <c r="O42" s="100"/>
      <c r="P42" s="100"/>
      <c r="Q42" s="100"/>
      <c r="R42" s="100"/>
      <c r="S42" s="100"/>
      <c r="T42" s="100"/>
      <c r="U42" s="100"/>
      <c r="V42" s="100"/>
      <c r="W42" s="100"/>
    </row>
    <row r="43" spans="2:23" ht="15.75" customHeight="1">
      <c r="B43" s="92" t="s">
        <v>513</v>
      </c>
      <c r="C43" s="108">
        <f>_xlfn.XLOOKUP(B43,[1]Basileia!$A$2:$A$1010,[1]Basileia!$D$2:$D$1010)</f>
        <v>0.5</v>
      </c>
      <c r="D43" s="109">
        <f>_xlfn.XLOOKUP(B43,[1]Imobilizado!$A$2:$A$337,[1]Imobilizado!$D$2:$D$337)</f>
        <v>1</v>
      </c>
      <c r="E43" s="109">
        <f>_xlfn.XLOOKUP(B43,'[1]Lucro Líquido'!$A$2:$A$995,'[1]Lucro Líquido'!$D$2:$D$995)</f>
        <v>1</v>
      </c>
      <c r="F43" s="110">
        <f>_xlfn.XLOOKUP(B43,'[1]Receita '!$A$2:$A$691,'[1]Receita '!$D$2:$D$691)</f>
        <v>1</v>
      </c>
      <c r="G43" s="111">
        <f>((C43*$C$1)+(D43*$D$1)+(E43*$E$1)+(F43*$F$1))</f>
        <v>0.8</v>
      </c>
      <c r="H43" s="97"/>
      <c r="I43" s="112">
        <f>SUM(C43:F43)</f>
        <v>3.5</v>
      </c>
      <c r="J43" s="113">
        <f>I43/$J$2</f>
        <v>0.875</v>
      </c>
      <c r="K43" s="100"/>
      <c r="L43" s="114" t="s">
        <v>443</v>
      </c>
      <c r="M43" s="115"/>
      <c r="N43" s="116"/>
      <c r="O43" s="100"/>
      <c r="P43" s="100"/>
      <c r="Q43" s="100"/>
      <c r="R43" s="100"/>
      <c r="S43" s="100"/>
      <c r="T43" s="100"/>
      <c r="U43" s="100"/>
      <c r="V43" s="100"/>
      <c r="W43" s="100"/>
    </row>
    <row r="44" spans="2:23" ht="15.75" customHeight="1">
      <c r="B44" s="92" t="s">
        <v>514</v>
      </c>
      <c r="C44" s="108">
        <f>_xlfn.XLOOKUP(B44,[1]Basileia!$A$2:$A$1010,[1]Basileia!$D$2:$D$1010)</f>
        <v>0.5</v>
      </c>
      <c r="D44" s="109">
        <f>_xlfn.XLOOKUP(B44,[1]Imobilizado!$A$2:$A$337,[1]Imobilizado!$D$2:$D$337)</f>
        <v>1</v>
      </c>
      <c r="E44" s="109">
        <f>_xlfn.XLOOKUP(B44,'[1]Lucro Líquido'!$A$2:$A$995,'[1]Lucro Líquido'!$D$2:$D$995)</f>
        <v>1</v>
      </c>
      <c r="F44" s="110">
        <f>_xlfn.XLOOKUP(B44,'[1]Receita '!$A$2:$A$691,'[1]Receita '!$D$2:$D$691)</f>
        <v>1</v>
      </c>
      <c r="G44" s="111">
        <f>((C44*$C$1)+(D44*$D$1)+(E44*$E$1)+(F44*$F$1))</f>
        <v>0.8</v>
      </c>
      <c r="H44" s="97"/>
      <c r="I44" s="112">
        <f>SUM(C44:F44)</f>
        <v>3.5</v>
      </c>
      <c r="J44" s="113">
        <f>I44/$J$2</f>
        <v>0.875</v>
      </c>
      <c r="K44" s="100"/>
      <c r="L44" s="114" t="s">
        <v>453</v>
      </c>
      <c r="M44" s="115" t="s">
        <v>453</v>
      </c>
      <c r="N44" s="116" t="s">
        <v>471</v>
      </c>
      <c r="O44" s="100"/>
      <c r="P44" s="100"/>
      <c r="Q44" s="100"/>
      <c r="R44" s="100"/>
      <c r="S44" s="100"/>
      <c r="T44" s="100"/>
      <c r="U44" s="100"/>
      <c r="V44" s="100"/>
      <c r="W44" s="100"/>
    </row>
    <row r="45" spans="2:23" ht="15.75" customHeight="1">
      <c r="B45" s="92" t="s">
        <v>515</v>
      </c>
      <c r="C45" s="108">
        <f>_xlfn.XLOOKUP(B45,[1]Basileia!$A$2:$A$1010,[1]Basileia!$D$2:$D$1010)</f>
        <v>0.5</v>
      </c>
      <c r="D45" s="109">
        <f>_xlfn.XLOOKUP(B45,[1]Imobilizado!$A$2:$A$337,[1]Imobilizado!$D$2:$D$337)</f>
        <v>1</v>
      </c>
      <c r="E45" s="109">
        <f>_xlfn.XLOOKUP(B45,'[1]Lucro Líquido'!$A$2:$A$995,'[1]Lucro Líquido'!$D$2:$D$995)</f>
        <v>1</v>
      </c>
      <c r="F45" s="110">
        <f>_xlfn.XLOOKUP(B45,'[1]Receita '!$A$2:$A$691,'[1]Receita '!$D$2:$D$691)</f>
        <v>1</v>
      </c>
      <c r="G45" s="111">
        <f>((C45*$C$1)+(D45*$D$1)+(E45*$E$1)+(F45*$F$1))</f>
        <v>0.8</v>
      </c>
      <c r="H45" s="97"/>
      <c r="I45" s="112">
        <f>SUM(C45:F45)</f>
        <v>3.5</v>
      </c>
      <c r="J45" s="113">
        <f>I45/$J$2</f>
        <v>0.875</v>
      </c>
      <c r="K45" s="100"/>
      <c r="L45" s="114" t="s">
        <v>443</v>
      </c>
      <c r="M45" s="115"/>
      <c r="N45" s="116"/>
      <c r="O45" s="100"/>
      <c r="P45" s="100"/>
      <c r="Q45" s="100"/>
      <c r="R45" s="100"/>
      <c r="S45" s="100"/>
      <c r="T45" s="100"/>
      <c r="U45" s="100"/>
      <c r="V45" s="100"/>
      <c r="W45" s="100"/>
    </row>
    <row r="46" spans="2:23" ht="15.75" customHeight="1">
      <c r="B46" s="92" t="s">
        <v>516</v>
      </c>
      <c r="C46" s="108">
        <f>_xlfn.XLOOKUP(B46,[1]Basileia!$A$2:$A$1010,[1]Basileia!$D$2:$D$1010)</f>
        <v>0.5</v>
      </c>
      <c r="D46" s="109">
        <f>_xlfn.XLOOKUP(B46,[1]Imobilizado!$A$2:$A$337,[1]Imobilizado!$D$2:$D$337)</f>
        <v>1</v>
      </c>
      <c r="E46" s="109">
        <f>_xlfn.XLOOKUP(B46,'[1]Lucro Líquido'!$A$2:$A$995,'[1]Lucro Líquido'!$D$2:$D$995)</f>
        <v>1</v>
      </c>
      <c r="F46" s="110">
        <f>_xlfn.XLOOKUP(B46,'[1]Receita '!$A$2:$A$691,'[1]Receita '!$D$2:$D$691)</f>
        <v>1</v>
      </c>
      <c r="G46" s="111">
        <f>((C46*$C$1)+(D46*$D$1)+(E46*$E$1)+(F46*$F$1))</f>
        <v>0.8</v>
      </c>
      <c r="H46" s="97"/>
      <c r="I46" s="112">
        <f>SUM(C46:F46)</f>
        <v>3.5</v>
      </c>
      <c r="J46" s="113">
        <f>I46/$J$2</f>
        <v>0.875</v>
      </c>
      <c r="K46" s="100"/>
      <c r="L46" s="114"/>
      <c r="M46" s="115" t="s">
        <v>443</v>
      </c>
      <c r="N46" s="116"/>
      <c r="O46" s="100"/>
      <c r="P46" s="100"/>
      <c r="Q46" s="100"/>
      <c r="R46" s="100"/>
      <c r="S46" s="100"/>
      <c r="T46" s="100"/>
      <c r="U46" s="100"/>
      <c r="V46" s="100"/>
      <c r="W46" s="100"/>
    </row>
    <row r="47" spans="2:23" ht="15.75" customHeight="1">
      <c r="B47" s="92" t="s">
        <v>517</v>
      </c>
      <c r="C47" s="108">
        <f>_xlfn.XLOOKUP(B47,[1]Basileia!$A$2:$A$1010,[1]Basileia!$D$2:$D$1010)</f>
        <v>0.5</v>
      </c>
      <c r="D47" s="109">
        <f>_xlfn.XLOOKUP(B47,[1]Imobilizado!$A$2:$A$337,[1]Imobilizado!$D$2:$D$337)</f>
        <v>1</v>
      </c>
      <c r="E47" s="109">
        <f>_xlfn.XLOOKUP(B47,'[1]Lucro Líquido'!$A$2:$A$995,'[1]Lucro Líquido'!$D$2:$D$995)</f>
        <v>1</v>
      </c>
      <c r="F47" s="110">
        <f>_xlfn.XLOOKUP(B47,'[1]Receita '!$A$2:$A$691,'[1]Receita '!$D$2:$D$691)</f>
        <v>1</v>
      </c>
      <c r="G47" s="111">
        <f>((C47*$C$1)+(D47*$D$1)+(E47*$E$1)+(F47*$F$1))</f>
        <v>0.8</v>
      </c>
      <c r="H47" s="97"/>
      <c r="I47" s="112">
        <f>SUM(C47:F47)</f>
        <v>3.5</v>
      </c>
      <c r="J47" s="113">
        <f>I47/$J$2</f>
        <v>0.875</v>
      </c>
      <c r="K47" s="100"/>
      <c r="L47" s="114"/>
      <c r="M47" s="115" t="s">
        <v>445</v>
      </c>
      <c r="N47" s="116" t="s">
        <v>445</v>
      </c>
      <c r="O47" s="100"/>
      <c r="P47" s="100"/>
      <c r="Q47" s="100"/>
      <c r="R47" s="100"/>
      <c r="S47" s="100"/>
      <c r="T47" s="100"/>
      <c r="U47" s="100"/>
      <c r="V47" s="100"/>
      <c r="W47" s="100"/>
    </row>
    <row r="48" spans="2:23" ht="15.75" customHeight="1">
      <c r="B48" s="92" t="s">
        <v>518</v>
      </c>
      <c r="C48" s="108">
        <f>_xlfn.XLOOKUP(B48,[1]Basileia!$A$2:$A$1010,[1]Basileia!$D$2:$D$1010)</f>
        <v>0.5</v>
      </c>
      <c r="D48" s="109">
        <f>_xlfn.XLOOKUP(B48,[1]Imobilizado!$A$2:$A$337,[1]Imobilizado!$D$2:$D$337)</f>
        <v>1</v>
      </c>
      <c r="E48" s="109">
        <f>_xlfn.XLOOKUP(B48,'[1]Lucro Líquido'!$A$2:$A$995,'[1]Lucro Líquido'!$D$2:$D$995)</f>
        <v>1</v>
      </c>
      <c r="F48" s="110">
        <f>_xlfn.XLOOKUP(B48,'[1]Receita '!$A$2:$A$691,'[1]Receita '!$D$2:$D$691)</f>
        <v>1</v>
      </c>
      <c r="G48" s="111">
        <f>((C48*$C$1)+(D48*$D$1)+(E48*$E$1)+(F48*$F$1))</f>
        <v>0.8</v>
      </c>
      <c r="H48" s="97"/>
      <c r="I48" s="112">
        <f>SUM(C48:F48)</f>
        <v>3.5</v>
      </c>
      <c r="J48" s="113">
        <f>I48/$J$2</f>
        <v>0.875</v>
      </c>
      <c r="K48" s="100"/>
      <c r="L48" s="114" t="s">
        <v>443</v>
      </c>
      <c r="M48" s="115"/>
      <c r="N48" s="116"/>
      <c r="O48" s="100"/>
      <c r="P48" s="100"/>
      <c r="Q48" s="100"/>
      <c r="R48" s="100"/>
      <c r="S48" s="100"/>
      <c r="T48" s="100"/>
      <c r="U48" s="100"/>
      <c r="V48" s="100"/>
      <c r="W48" s="100"/>
    </row>
    <row r="49" spans="2:23" ht="15.75" customHeight="1">
      <c r="B49" s="128" t="s">
        <v>519</v>
      </c>
      <c r="C49" s="108">
        <f>_xlfn.XLOOKUP(B49,[1]Basileia!$A$2:$A$1010,[1]Basileia!$D$2:$D$1010)</f>
        <v>0.5</v>
      </c>
      <c r="D49" s="109">
        <f>_xlfn.XLOOKUP(B49,[1]Imobilizado!$A$2:$A$337,[1]Imobilizado!$D$2:$D$337)</f>
        <v>1</v>
      </c>
      <c r="E49" s="109">
        <f>_xlfn.XLOOKUP(B49,'[1]Lucro Líquido'!$A$2:$A$995,'[1]Lucro Líquido'!$D$2:$D$995)</f>
        <v>1</v>
      </c>
      <c r="F49" s="110">
        <f>_xlfn.XLOOKUP(B49,'[1]Receita '!$A$2:$A$691,'[1]Receita '!$D$2:$D$691)</f>
        <v>1</v>
      </c>
      <c r="G49" s="111">
        <f>((C49*$C$1)+(D49*$D$1)+(E49*$E$1)+(F49*$F$1))</f>
        <v>0.8</v>
      </c>
      <c r="H49" s="97"/>
      <c r="I49" s="112">
        <f>SUM(C49:F49)</f>
        <v>3.5</v>
      </c>
      <c r="J49" s="113">
        <f>I49/$J$2</f>
        <v>0.875</v>
      </c>
      <c r="K49" s="100"/>
      <c r="L49" s="129" t="s">
        <v>496</v>
      </c>
      <c r="M49" s="130"/>
      <c r="N49" s="131" t="s">
        <v>468</v>
      </c>
      <c r="O49" s="100"/>
      <c r="P49" s="100"/>
      <c r="Q49" s="100"/>
      <c r="R49" s="100"/>
      <c r="S49" s="100"/>
      <c r="T49" s="100"/>
      <c r="U49" s="100"/>
      <c r="V49" s="100"/>
      <c r="W49" s="100"/>
    </row>
    <row r="50" spans="2:23" ht="15.75" customHeight="1">
      <c r="B50" s="92" t="s">
        <v>520</v>
      </c>
      <c r="C50" s="108">
        <f>_xlfn.XLOOKUP(B50,[1]Basileia!$A$2:$A$1010,[1]Basileia!$D$2:$D$1010)</f>
        <v>0.5</v>
      </c>
      <c r="D50" s="109">
        <f>_xlfn.XLOOKUP(B50,[1]Imobilizado!$A$2:$A$337,[1]Imobilizado!$D$2:$D$337)</f>
        <v>1</v>
      </c>
      <c r="E50" s="109">
        <f>_xlfn.XLOOKUP(B50,'[1]Lucro Líquido'!$A$2:$A$995,'[1]Lucro Líquido'!$D$2:$D$995)</f>
        <v>1</v>
      </c>
      <c r="F50" s="110">
        <f>_xlfn.XLOOKUP(B50,'[1]Receita '!$A$2:$A$691,'[1]Receita '!$D$2:$D$691)</f>
        <v>1</v>
      </c>
      <c r="G50" s="111">
        <f>((C50*$C$1)+(D50*$D$1)+(E50*$E$1)+(F50*$F$1))</f>
        <v>0.8</v>
      </c>
      <c r="H50" s="97"/>
      <c r="I50" s="112">
        <f>SUM(C50:F50)</f>
        <v>3.5</v>
      </c>
      <c r="J50" s="113">
        <f>I50/$J$2</f>
        <v>0.875</v>
      </c>
      <c r="K50" s="100"/>
      <c r="L50" s="114" t="s">
        <v>450</v>
      </c>
      <c r="M50" s="115"/>
      <c r="N50" s="116"/>
      <c r="O50" s="100"/>
      <c r="P50" s="100"/>
      <c r="Q50" s="100"/>
      <c r="R50" s="100"/>
      <c r="S50" s="100"/>
      <c r="T50" s="100"/>
      <c r="U50" s="100"/>
      <c r="V50" s="100"/>
      <c r="W50" s="100"/>
    </row>
    <row r="51" spans="2:23" ht="15.75" customHeight="1">
      <c r="B51" s="92" t="s">
        <v>521</v>
      </c>
      <c r="C51" s="108">
        <f>_xlfn.XLOOKUP(B51,[1]Basileia!$A$2:$A$1010,[1]Basileia!$D$2:$D$1010)</f>
        <v>0.5</v>
      </c>
      <c r="D51" s="109">
        <f>_xlfn.XLOOKUP(B51,[1]Imobilizado!$A$2:$A$337,[1]Imobilizado!$D$2:$D$337)</f>
        <v>1</v>
      </c>
      <c r="E51" s="109">
        <f>_xlfn.XLOOKUP(B51,'[1]Lucro Líquido'!$A$2:$A$995,'[1]Lucro Líquido'!$D$2:$D$995)</f>
        <v>1</v>
      </c>
      <c r="F51" s="110">
        <f>_xlfn.XLOOKUP(B51,'[1]Receita '!$A$2:$A$691,'[1]Receita '!$D$2:$D$691)</f>
        <v>1</v>
      </c>
      <c r="G51" s="111">
        <f>((C51*$C$1)+(D51*$D$1)+(E51*$E$1)+(F51*$F$1))</f>
        <v>0.8</v>
      </c>
      <c r="H51" s="97"/>
      <c r="I51" s="112">
        <f>SUM(C51:F51)</f>
        <v>3.5</v>
      </c>
      <c r="J51" s="113">
        <f>I51/$J$2</f>
        <v>0.875</v>
      </c>
      <c r="K51" s="100"/>
      <c r="L51" s="114" t="s">
        <v>471</v>
      </c>
      <c r="M51" s="115"/>
      <c r="N51" s="116"/>
      <c r="O51" s="100"/>
      <c r="P51" s="100"/>
      <c r="Q51" s="100"/>
      <c r="R51" s="100"/>
      <c r="S51" s="100"/>
      <c r="T51" s="100"/>
      <c r="U51" s="100"/>
      <c r="V51" s="100"/>
      <c r="W51" s="100"/>
    </row>
    <row r="52" spans="2:23" ht="15.75" customHeight="1">
      <c r="B52" s="92" t="s">
        <v>522</v>
      </c>
      <c r="C52" s="108">
        <f>_xlfn.XLOOKUP(B52,[1]Basileia!$A$2:$A$1010,[1]Basileia!$D$2:$D$1010)</f>
        <v>0.5</v>
      </c>
      <c r="D52" s="109">
        <f>_xlfn.XLOOKUP(B52,[1]Imobilizado!$A$2:$A$337,[1]Imobilizado!$D$2:$D$337)</f>
        <v>1</v>
      </c>
      <c r="E52" s="109">
        <f>_xlfn.XLOOKUP(B52,'[1]Lucro Líquido'!$A$2:$A$995,'[1]Lucro Líquido'!$D$2:$D$995)</f>
        <v>1</v>
      </c>
      <c r="F52" s="110">
        <f>_xlfn.XLOOKUP(B52,'[1]Receita '!$A$2:$A$691,'[1]Receita '!$D$2:$D$691)</f>
        <v>1</v>
      </c>
      <c r="G52" s="111">
        <f>((C52*$C$1)+(D52*$D$1)+(E52*$E$1)+(F52*$F$1))</f>
        <v>0.8</v>
      </c>
      <c r="H52" s="97"/>
      <c r="I52" s="112">
        <f>SUM(C52:F52)</f>
        <v>3.5</v>
      </c>
      <c r="J52" s="113">
        <f>I52/$J$2</f>
        <v>0.875</v>
      </c>
      <c r="K52" s="100"/>
      <c r="L52" s="114"/>
      <c r="M52" s="115"/>
      <c r="N52" s="116" t="s">
        <v>496</v>
      </c>
      <c r="O52" s="100"/>
      <c r="P52" s="100"/>
      <c r="Q52" s="100"/>
      <c r="R52" s="100"/>
      <c r="S52" s="100"/>
      <c r="T52" s="100"/>
      <c r="U52" s="100"/>
      <c r="V52" s="100"/>
      <c r="W52" s="100"/>
    </row>
    <row r="53" spans="2:23" ht="15.75" customHeight="1">
      <c r="B53" s="92" t="s">
        <v>523</v>
      </c>
      <c r="C53" s="108">
        <f>_xlfn.XLOOKUP(B53,[1]Basileia!$A$2:$A$1010,[1]Basileia!$D$2:$D$1010)</f>
        <v>0.5</v>
      </c>
      <c r="D53" s="109">
        <f>_xlfn.XLOOKUP(B53,[1]Imobilizado!$A$2:$A$337,[1]Imobilizado!$D$2:$D$337)</f>
        <v>1</v>
      </c>
      <c r="E53" s="109">
        <f>_xlfn.XLOOKUP(B53,'[1]Lucro Líquido'!$A$2:$A$995,'[1]Lucro Líquido'!$D$2:$D$995)</f>
        <v>1</v>
      </c>
      <c r="F53" s="110">
        <f>_xlfn.XLOOKUP(B53,'[1]Receita '!$A$2:$A$691,'[1]Receita '!$D$2:$D$691)</f>
        <v>1</v>
      </c>
      <c r="G53" s="111">
        <f>((C53*$C$1)+(D53*$D$1)+(E53*$E$1)+(F53*$F$1))</f>
        <v>0.8</v>
      </c>
      <c r="H53" s="97"/>
      <c r="I53" s="112">
        <f>SUM(C53:F53)</f>
        <v>3.5</v>
      </c>
      <c r="J53" s="113">
        <f>I53/$J$2</f>
        <v>0.875</v>
      </c>
      <c r="K53" s="100"/>
      <c r="L53" s="114"/>
      <c r="M53" s="115"/>
      <c r="N53" s="116" t="s">
        <v>459</v>
      </c>
      <c r="O53" s="100"/>
      <c r="P53" s="100"/>
      <c r="Q53" s="100"/>
      <c r="R53" s="100"/>
      <c r="S53" s="100"/>
      <c r="T53" s="100"/>
      <c r="U53" s="100"/>
      <c r="V53" s="100"/>
      <c r="W53" s="100"/>
    </row>
    <row r="54" spans="2:23" ht="15.75" customHeight="1">
      <c r="B54" s="92" t="s">
        <v>524</v>
      </c>
      <c r="C54" s="108">
        <f>_xlfn.XLOOKUP(B54,[1]Basileia!$A$2:$A$1010,[1]Basileia!$D$2:$D$1010)</f>
        <v>0.5</v>
      </c>
      <c r="D54" s="109">
        <f>_xlfn.XLOOKUP(B54,[1]Imobilizado!$A$2:$A$337,[1]Imobilizado!$D$2:$D$337)</f>
        <v>1</v>
      </c>
      <c r="E54" s="109">
        <f>_xlfn.XLOOKUP(B54,'[1]Lucro Líquido'!$A$2:$A$995,'[1]Lucro Líquido'!$D$2:$D$995)</f>
        <v>1</v>
      </c>
      <c r="F54" s="110">
        <f>_xlfn.XLOOKUP(B54,'[1]Receita '!$A$2:$A$691,'[1]Receita '!$D$2:$D$691)</f>
        <v>1</v>
      </c>
      <c r="G54" s="111">
        <f>((C54*$C$1)+(D54*$D$1)+(E54*$E$1)+(F54*$F$1))</f>
        <v>0.8</v>
      </c>
      <c r="H54" s="97"/>
      <c r="I54" s="112">
        <f>SUM(C54:F54)</f>
        <v>3.5</v>
      </c>
      <c r="J54" s="113">
        <f>I54/$J$2</f>
        <v>0.875</v>
      </c>
      <c r="K54" s="100"/>
      <c r="L54" s="114"/>
      <c r="M54" s="115"/>
      <c r="N54" s="116" t="s">
        <v>459</v>
      </c>
      <c r="O54" s="100"/>
      <c r="P54" s="100"/>
      <c r="Q54" s="100"/>
      <c r="R54" s="100"/>
      <c r="S54" s="100"/>
      <c r="T54" s="100"/>
      <c r="U54" s="100"/>
      <c r="V54" s="100"/>
      <c r="W54" s="100"/>
    </row>
    <row r="55" spans="2:23" ht="15.75" customHeight="1">
      <c r="B55" s="92" t="s">
        <v>525</v>
      </c>
      <c r="C55" s="108">
        <f>_xlfn.XLOOKUP(B55,[1]Basileia!$A$2:$A$1010,[1]Basileia!$D$2:$D$1010)</f>
        <v>0.5</v>
      </c>
      <c r="D55" s="109">
        <f>_xlfn.XLOOKUP(B55,[1]Imobilizado!$A$2:$A$337,[1]Imobilizado!$D$2:$D$337)</f>
        <v>1</v>
      </c>
      <c r="E55" s="109">
        <f>_xlfn.XLOOKUP(B55,'[1]Lucro Líquido'!$A$2:$A$995,'[1]Lucro Líquido'!$D$2:$D$995)</f>
        <v>1</v>
      </c>
      <c r="F55" s="110">
        <f>_xlfn.XLOOKUP(B55,'[1]Receita '!$A$2:$A$691,'[1]Receita '!$D$2:$D$691)</f>
        <v>1</v>
      </c>
      <c r="G55" s="111">
        <f>((C55*$C$1)+(D55*$D$1)+(E55*$E$1)+(F55*$F$1))</f>
        <v>0.8</v>
      </c>
      <c r="H55" s="97"/>
      <c r="I55" s="112">
        <f>SUM(C55:F55)</f>
        <v>3.5</v>
      </c>
      <c r="J55" s="113">
        <f>I55/$J$2</f>
        <v>0.875</v>
      </c>
      <c r="K55" s="100"/>
      <c r="L55" s="114"/>
      <c r="M55" s="115"/>
      <c r="N55" s="116" t="s">
        <v>461</v>
      </c>
      <c r="O55" s="100"/>
      <c r="P55" s="100"/>
      <c r="Q55" s="100"/>
      <c r="R55" s="100"/>
      <c r="S55" s="100"/>
      <c r="T55" s="100"/>
      <c r="U55" s="100"/>
      <c r="V55" s="100"/>
      <c r="W55" s="100"/>
    </row>
    <row r="56" spans="2:23" ht="15.75" customHeight="1">
      <c r="B56" s="92" t="s">
        <v>419</v>
      </c>
      <c r="C56" s="108">
        <f>_xlfn.XLOOKUP(B56,[1]Basileia!$A$2:$A$1010,[1]Basileia!$D$2:$D$1010)</f>
        <v>0.75</v>
      </c>
      <c r="D56" s="109">
        <f>_xlfn.XLOOKUP(B56,[1]Imobilizado!$A$2:$A$337,[1]Imobilizado!$D$2:$D$337)</f>
        <v>1</v>
      </c>
      <c r="E56" s="109">
        <f>_xlfn.XLOOKUP(B56,'[1]Lucro Líquido'!$A$2:$A$995,'[1]Lucro Líquido'!$D$2:$D$995)</f>
        <v>1</v>
      </c>
      <c r="F56" s="110">
        <f>_xlfn.XLOOKUP(B56,'[1]Receita '!$A$2:$A$691,'[1]Receita '!$D$2:$D$691)</f>
        <v>0.25</v>
      </c>
      <c r="G56" s="111">
        <f>((C56*$C$1)+(D56*$D$1)+(E56*$E$1)+(F56*$F$1))</f>
        <v>0.78749999999999998</v>
      </c>
      <c r="H56" s="97"/>
      <c r="I56" s="112">
        <f>SUM(C56:F56)</f>
        <v>3</v>
      </c>
      <c r="J56" s="113">
        <f>I56/$J$2</f>
        <v>0.75</v>
      </c>
      <c r="K56" s="100"/>
      <c r="L56" s="114"/>
      <c r="M56" s="115" t="s">
        <v>443</v>
      </c>
      <c r="N56" s="116"/>
      <c r="O56" s="100"/>
      <c r="P56" s="100"/>
      <c r="Q56" s="100"/>
      <c r="R56" s="100"/>
      <c r="S56" s="100"/>
      <c r="T56" s="100"/>
      <c r="U56" s="100"/>
      <c r="V56" s="100"/>
      <c r="W56" s="100"/>
    </row>
    <row r="57" spans="2:23" ht="15.75" customHeight="1">
      <c r="B57" s="92" t="s">
        <v>526</v>
      </c>
      <c r="C57" s="108">
        <f>_xlfn.XLOOKUP(B57,[1]Basileia!$A$2:$A$1010,[1]Basileia!$D$2:$D$1010)</f>
        <v>0.5</v>
      </c>
      <c r="D57" s="109">
        <f>_xlfn.XLOOKUP(B57,[1]Imobilizado!$A$2:$A$337,[1]Imobilizado!$D$2:$D$337)</f>
        <v>1</v>
      </c>
      <c r="E57" s="109">
        <f>_xlfn.XLOOKUP(B57,'[1]Lucro Líquido'!$A$2:$A$995,'[1]Lucro Líquido'!$D$2:$D$995)</f>
        <v>1</v>
      </c>
      <c r="F57" s="110">
        <f>_xlfn.XLOOKUP(B57,'[1]Receita '!$A$2:$A$691,'[1]Receita '!$D$2:$D$691)</f>
        <v>0.75</v>
      </c>
      <c r="G57" s="111">
        <f>((C57*$C$1)+(D57*$D$1)+(E57*$E$1)+(F57*$F$1))</f>
        <v>0.76249999999999996</v>
      </c>
      <c r="H57" s="97"/>
      <c r="I57" s="112">
        <f>SUM(C57:F57)</f>
        <v>3.25</v>
      </c>
      <c r="J57" s="113">
        <f>I57/$J$2</f>
        <v>0.8125</v>
      </c>
      <c r="K57" s="100"/>
      <c r="L57" s="114"/>
      <c r="M57" s="115" t="s">
        <v>450</v>
      </c>
      <c r="N57" s="116"/>
      <c r="O57" s="100"/>
      <c r="P57" s="100"/>
      <c r="Q57" s="100"/>
      <c r="R57" s="100"/>
      <c r="S57" s="100"/>
      <c r="T57" s="100"/>
      <c r="U57" s="100"/>
      <c r="V57" s="100"/>
      <c r="W57" s="100"/>
    </row>
    <row r="58" spans="2:23" ht="15.75" customHeight="1">
      <c r="B58" s="92" t="s">
        <v>527</v>
      </c>
      <c r="C58" s="108">
        <f>_xlfn.XLOOKUP(B58,[1]Basileia!$A$2:$A$1010,[1]Basileia!$D$2:$D$1010)</f>
        <v>0.25</v>
      </c>
      <c r="D58" s="109">
        <f>_xlfn.XLOOKUP(B58,[1]Imobilizado!$A$2:$A$337,[1]Imobilizado!$D$2:$D$337)</f>
        <v>1</v>
      </c>
      <c r="E58" s="109">
        <f>_xlfn.XLOOKUP(B58,'[1]Lucro Líquido'!$A$2:$A$995,'[1]Lucro Líquido'!$D$2:$D$995)</f>
        <v>1</v>
      </c>
      <c r="F58" s="110">
        <f>_xlfn.XLOOKUP(B58,'[1]Receita '!$A$2:$A$691,'[1]Receita '!$D$2:$D$691)</f>
        <v>1</v>
      </c>
      <c r="G58" s="111">
        <f>((C58*$C$1)+(D58*$D$1)+(E58*$E$1)+(F58*$F$1))</f>
        <v>0.70000000000000007</v>
      </c>
      <c r="H58" s="97"/>
      <c r="I58" s="112">
        <f>SUM(C58:F58)</f>
        <v>3.25</v>
      </c>
      <c r="J58" s="113">
        <f>I58/$J$2</f>
        <v>0.8125</v>
      </c>
      <c r="K58" s="100"/>
      <c r="L58" s="114"/>
      <c r="M58" s="115"/>
      <c r="N58" s="116" t="s">
        <v>459</v>
      </c>
      <c r="O58" s="100"/>
      <c r="P58" s="100"/>
      <c r="Q58" s="100"/>
      <c r="R58" s="100"/>
      <c r="S58" s="100"/>
      <c r="T58" s="100"/>
      <c r="U58" s="100"/>
      <c r="V58" s="100"/>
      <c r="W58" s="100"/>
    </row>
    <row r="59" spans="2:23" ht="15.75" customHeight="1">
      <c r="B59" s="92" t="s">
        <v>528</v>
      </c>
      <c r="C59" s="108">
        <f>_xlfn.XLOOKUP(B59,[1]Basileia!$A$2:$A$1010,[1]Basileia!$D$2:$D$1010)</f>
        <v>0.25</v>
      </c>
      <c r="D59" s="109">
        <f>_xlfn.XLOOKUP(B59,[1]Imobilizado!$A$2:$A$337,[1]Imobilizado!$D$2:$D$337)</f>
        <v>1</v>
      </c>
      <c r="E59" s="109">
        <f>_xlfn.XLOOKUP(B59,'[1]Lucro Líquido'!$A$2:$A$995,'[1]Lucro Líquido'!$D$2:$D$995)</f>
        <v>1</v>
      </c>
      <c r="F59" s="110">
        <f>_xlfn.XLOOKUP(B59,'[1]Receita '!$A$2:$A$691,'[1]Receita '!$D$2:$D$691)</f>
        <v>1</v>
      </c>
      <c r="G59" s="111">
        <f>((C59*$C$1)+(D59*$D$1)+(E59*$E$1)+(F59*$F$1))</f>
        <v>0.70000000000000007</v>
      </c>
      <c r="H59" s="97"/>
      <c r="I59" s="112">
        <f>SUM(C59:F59)</f>
        <v>3.25</v>
      </c>
      <c r="J59" s="113">
        <f>I59/$J$2</f>
        <v>0.8125</v>
      </c>
      <c r="K59" s="100"/>
      <c r="L59" s="114" t="s">
        <v>443</v>
      </c>
      <c r="M59" s="115"/>
      <c r="N59" s="116" t="s">
        <v>443</v>
      </c>
      <c r="O59" s="100"/>
      <c r="P59" s="100"/>
      <c r="Q59" s="100"/>
      <c r="R59" s="100"/>
      <c r="S59" s="100"/>
      <c r="T59" s="100"/>
      <c r="U59" s="100"/>
      <c r="V59" s="100"/>
      <c r="W59" s="100"/>
    </row>
    <row r="60" spans="2:23" ht="15.75" customHeight="1">
      <c r="B60" s="92" t="s">
        <v>420</v>
      </c>
      <c r="C60" s="108">
        <f>_xlfn.XLOOKUP(B60,[1]Basileia!$A$2:$A$1010,[1]Basileia!$D$2:$D$1010)</f>
        <v>0.25</v>
      </c>
      <c r="D60" s="109">
        <f>_xlfn.XLOOKUP(B60,[1]Imobilizado!$A$2:$A$337,[1]Imobilizado!$D$2:$D$337)</f>
        <v>1</v>
      </c>
      <c r="E60" s="109">
        <f>_xlfn.XLOOKUP(B60,'[1]Lucro Líquido'!$A$2:$A$995,'[1]Lucro Líquido'!$D$2:$D$995)</f>
        <v>1</v>
      </c>
      <c r="F60" s="110">
        <f>_xlfn.XLOOKUP(B60,'[1]Receita '!$A$2:$A$691,'[1]Receita '!$D$2:$D$691)</f>
        <v>1</v>
      </c>
      <c r="G60" s="111">
        <f>((C60*$C$1)+(D60*$D$1)+(E60*$E$1)+(F60*$F$1))</f>
        <v>0.70000000000000007</v>
      </c>
      <c r="H60" s="97"/>
      <c r="I60" s="112">
        <f>SUM(C60:F60)</f>
        <v>3.25</v>
      </c>
      <c r="J60" s="113">
        <f>I60/$J$2</f>
        <v>0.8125</v>
      </c>
      <c r="K60" s="100"/>
      <c r="L60" s="114"/>
      <c r="M60" s="115" t="s">
        <v>443</v>
      </c>
      <c r="N60" s="116" t="s">
        <v>443</v>
      </c>
      <c r="O60" s="100"/>
      <c r="P60" s="100"/>
      <c r="Q60" s="100"/>
      <c r="R60" s="100"/>
      <c r="S60" s="100"/>
      <c r="T60" s="100"/>
      <c r="U60" s="100"/>
      <c r="V60" s="100"/>
      <c r="W60" s="100"/>
    </row>
    <row r="61" spans="2:23" ht="15.75" customHeight="1">
      <c r="B61" s="92" t="s">
        <v>529</v>
      </c>
      <c r="C61" s="108">
        <f>_xlfn.XLOOKUP(B61,[1]Basileia!$A$2:$A$1010,[1]Basileia!$D$2:$D$1010)</f>
        <v>0.25</v>
      </c>
      <c r="D61" s="109">
        <f>_xlfn.XLOOKUP(B61,[1]Imobilizado!$A$2:$A$337,[1]Imobilizado!$D$2:$D$337)</f>
        <v>1</v>
      </c>
      <c r="E61" s="109">
        <f>_xlfn.XLOOKUP(B61,'[1]Lucro Líquido'!$A$2:$A$995,'[1]Lucro Líquido'!$D$2:$D$995)</f>
        <v>1</v>
      </c>
      <c r="F61" s="110">
        <f>_xlfn.XLOOKUP(B61,'[1]Receita '!$A$2:$A$691,'[1]Receita '!$D$2:$D$691)</f>
        <v>1</v>
      </c>
      <c r="G61" s="111">
        <f>((C61*$C$1)+(D61*$D$1)+(E61*$E$1)+(F61*$F$1))</f>
        <v>0.70000000000000007</v>
      </c>
      <c r="H61" s="97"/>
      <c r="I61" s="112">
        <f>SUM(C61:F61)</f>
        <v>3.25</v>
      </c>
      <c r="J61" s="113">
        <f>I61/$J$2</f>
        <v>0.8125</v>
      </c>
      <c r="K61" s="100"/>
      <c r="L61" s="114" t="s">
        <v>459</v>
      </c>
      <c r="M61" s="115" t="s">
        <v>471</v>
      </c>
      <c r="N61" s="116"/>
      <c r="O61" s="100"/>
      <c r="P61" s="100"/>
      <c r="Q61" s="100"/>
      <c r="R61" s="100"/>
      <c r="S61" s="100"/>
      <c r="T61" s="100"/>
      <c r="U61" s="100"/>
      <c r="V61" s="100"/>
      <c r="W61" s="100"/>
    </row>
    <row r="62" spans="2:23" ht="15.75" customHeight="1">
      <c r="B62" s="92" t="s">
        <v>530</v>
      </c>
      <c r="C62" s="108">
        <f>_xlfn.XLOOKUP(B62,[1]Basileia!$A$2:$A$1010,[1]Basileia!$D$2:$D$1010)</f>
        <v>0.25</v>
      </c>
      <c r="D62" s="109">
        <f>_xlfn.XLOOKUP(B62,[1]Imobilizado!$A$2:$A$337,[1]Imobilizado!$D$2:$D$337)</f>
        <v>1</v>
      </c>
      <c r="E62" s="109">
        <f>_xlfn.XLOOKUP(B62,'[1]Lucro Líquido'!$A$2:$A$995,'[1]Lucro Líquido'!$D$2:$D$995)</f>
        <v>1</v>
      </c>
      <c r="F62" s="110">
        <f>_xlfn.XLOOKUP(B62,'[1]Receita '!$A$2:$A$691,'[1]Receita '!$D$2:$D$691)</f>
        <v>1</v>
      </c>
      <c r="G62" s="111">
        <f>((C62*$C$1)+(D62*$D$1)+(E62*$E$1)+(F62*$F$1))</f>
        <v>0.70000000000000007</v>
      </c>
      <c r="H62" s="97"/>
      <c r="I62" s="112">
        <f>SUM(C62:F62)</f>
        <v>3.25</v>
      </c>
      <c r="J62" s="113">
        <f>I62/$J$2</f>
        <v>0.8125</v>
      </c>
      <c r="K62" s="100"/>
      <c r="L62" s="129" t="s">
        <v>450</v>
      </c>
      <c r="M62" s="130"/>
      <c r="N62" s="131" t="s">
        <v>450</v>
      </c>
      <c r="O62" s="100"/>
      <c r="P62" s="100"/>
      <c r="Q62" s="100"/>
      <c r="R62" s="100"/>
      <c r="S62" s="100"/>
      <c r="T62" s="100"/>
      <c r="U62" s="100"/>
      <c r="V62" s="100"/>
      <c r="W62" s="100"/>
    </row>
    <row r="63" spans="2:23" ht="15.75" customHeight="1">
      <c r="B63" s="92" t="s">
        <v>531</v>
      </c>
      <c r="C63" s="108">
        <f>_xlfn.XLOOKUP(B63,[1]Basileia!$A$2:$A$1010,[1]Basileia!$D$2:$D$1010)</f>
        <v>0.25</v>
      </c>
      <c r="D63" s="109">
        <f>_xlfn.XLOOKUP(B63,[1]Imobilizado!$A$2:$A$337,[1]Imobilizado!$D$2:$D$337)</f>
        <v>1</v>
      </c>
      <c r="E63" s="109">
        <f>_xlfn.XLOOKUP(B63,'[1]Lucro Líquido'!$A$2:$A$995,'[1]Lucro Líquido'!$D$2:$D$995)</f>
        <v>1</v>
      </c>
      <c r="F63" s="110">
        <f>_xlfn.XLOOKUP(B63,'[1]Receita '!$A$2:$A$691,'[1]Receita '!$D$2:$D$691)</f>
        <v>1</v>
      </c>
      <c r="G63" s="111">
        <f>((C63*$C$1)+(D63*$D$1)+(E63*$E$1)+(F63*$F$1))</f>
        <v>0.70000000000000007</v>
      </c>
      <c r="H63" s="97"/>
      <c r="I63" s="112">
        <f>SUM(C63:F63)</f>
        <v>3.25</v>
      </c>
      <c r="J63" s="113">
        <f>I63/$J$2</f>
        <v>0.8125</v>
      </c>
      <c r="K63" s="100"/>
      <c r="L63" s="129" t="s">
        <v>443</v>
      </c>
      <c r="M63" s="130" t="s">
        <v>443</v>
      </c>
      <c r="N63" s="131" t="s">
        <v>453</v>
      </c>
      <c r="O63" s="100"/>
      <c r="P63" s="100"/>
      <c r="Q63" s="100"/>
      <c r="R63" s="100"/>
      <c r="S63" s="100"/>
      <c r="T63" s="100"/>
      <c r="U63" s="100"/>
      <c r="V63" s="100"/>
      <c r="W63" s="100"/>
    </row>
    <row r="64" spans="2:23" ht="15.75" customHeight="1">
      <c r="B64" s="92" t="s">
        <v>532</v>
      </c>
      <c r="C64" s="108">
        <f>_xlfn.XLOOKUP(B64,[1]Basileia!$A$2:$A$1010,[1]Basileia!$D$2:$D$1010)</f>
        <v>0.25</v>
      </c>
      <c r="D64" s="109">
        <f>_xlfn.XLOOKUP(B64,[1]Imobilizado!$A$2:$A$337,[1]Imobilizado!$D$2:$D$337)</f>
        <v>1</v>
      </c>
      <c r="E64" s="109">
        <f>_xlfn.XLOOKUP(B64,'[1]Lucro Líquido'!$A$2:$A$995,'[1]Lucro Líquido'!$D$2:$D$995)</f>
        <v>1</v>
      </c>
      <c r="F64" s="110">
        <f>_xlfn.XLOOKUP(B64,'[1]Receita '!$A$2:$A$691,'[1]Receita '!$D$2:$D$691)</f>
        <v>1</v>
      </c>
      <c r="G64" s="111">
        <f>((C64*$C$1)+(D64*$D$1)+(E64*$E$1)+(F64*$F$1))</f>
        <v>0.70000000000000007</v>
      </c>
      <c r="H64" s="97"/>
      <c r="I64" s="112">
        <f>SUM(C64:F64)</f>
        <v>3.25</v>
      </c>
      <c r="J64" s="113">
        <f>I64/$J$2</f>
        <v>0.8125</v>
      </c>
      <c r="K64" s="100"/>
      <c r="L64" s="129" t="s">
        <v>443</v>
      </c>
      <c r="M64" s="130"/>
      <c r="N64" s="131"/>
      <c r="O64" s="100"/>
      <c r="P64" s="100"/>
      <c r="Q64" s="100"/>
      <c r="R64" s="100"/>
      <c r="S64" s="100"/>
      <c r="T64" s="100"/>
      <c r="U64" s="100"/>
      <c r="V64" s="100"/>
      <c r="W64" s="100"/>
    </row>
    <row r="65" spans="2:23" ht="15.75" customHeight="1">
      <c r="B65" s="92" t="s">
        <v>533</v>
      </c>
      <c r="C65" s="108">
        <f>_xlfn.XLOOKUP(B65,[1]Basileia!$A$2:$A$1010,[1]Basileia!$D$2:$D$1010)</f>
        <v>0.25</v>
      </c>
      <c r="D65" s="109">
        <f>_xlfn.XLOOKUP(B65,[1]Imobilizado!$A$2:$A$337,[1]Imobilizado!$D$2:$D$337)</f>
        <v>1</v>
      </c>
      <c r="E65" s="109">
        <f>_xlfn.XLOOKUP(B65,'[1]Lucro Líquido'!$A$2:$A$995,'[1]Lucro Líquido'!$D$2:$D$995)</f>
        <v>1</v>
      </c>
      <c r="F65" s="110">
        <f>_xlfn.XLOOKUP(B65,'[1]Receita '!$A$2:$A$691,'[1]Receita '!$D$2:$D$691)</f>
        <v>1</v>
      </c>
      <c r="G65" s="111">
        <f>((C65*$C$1)+(D65*$D$1)+(E65*$E$1)+(F65*$F$1))</f>
        <v>0.70000000000000007</v>
      </c>
      <c r="H65" s="97"/>
      <c r="I65" s="112">
        <f>SUM(C65:F65)</f>
        <v>3.25</v>
      </c>
      <c r="J65" s="113">
        <f>I65/$J$2</f>
        <v>0.8125</v>
      </c>
      <c r="K65" s="100"/>
      <c r="L65" s="129"/>
      <c r="M65" s="130" t="s">
        <v>443</v>
      </c>
      <c r="N65" s="131" t="s">
        <v>443</v>
      </c>
      <c r="O65" s="100"/>
      <c r="P65" s="100"/>
      <c r="Q65" s="100"/>
      <c r="R65" s="100"/>
      <c r="S65" s="100"/>
      <c r="T65" s="100"/>
      <c r="U65" s="100"/>
      <c r="V65" s="100"/>
      <c r="W65" s="100"/>
    </row>
    <row r="66" spans="2:23" ht="15.75" customHeight="1">
      <c r="B66" s="92" t="s">
        <v>534</v>
      </c>
      <c r="C66" s="108">
        <f>_xlfn.XLOOKUP(B66,[1]Basileia!$A$2:$A$1010,[1]Basileia!$D$2:$D$1010)</f>
        <v>0.25</v>
      </c>
      <c r="D66" s="109">
        <f>_xlfn.XLOOKUP(B66,[1]Imobilizado!$A$2:$A$337,[1]Imobilizado!$D$2:$D$337)</f>
        <v>1</v>
      </c>
      <c r="E66" s="109">
        <f>_xlfn.XLOOKUP(B66,'[1]Lucro Líquido'!$A$2:$A$995,'[1]Lucro Líquido'!$D$2:$D$995)</f>
        <v>1</v>
      </c>
      <c r="F66" s="110">
        <f>_xlfn.XLOOKUP(B66,'[1]Receita '!$A$2:$A$691,'[1]Receita '!$D$2:$D$691)</f>
        <v>1</v>
      </c>
      <c r="G66" s="111">
        <f>((C66*$C$1)+(D66*$D$1)+(E66*$E$1)+(F66*$F$1))</f>
        <v>0.70000000000000007</v>
      </c>
      <c r="H66" s="97"/>
      <c r="I66" s="112">
        <f>SUM(C66:F66)</f>
        <v>3.25</v>
      </c>
      <c r="J66" s="113">
        <f>I66/$J$2</f>
        <v>0.8125</v>
      </c>
      <c r="K66" s="100"/>
      <c r="L66" s="129"/>
      <c r="M66" s="130" t="s">
        <v>443</v>
      </c>
      <c r="N66" s="131"/>
      <c r="O66" s="100"/>
      <c r="P66" s="100"/>
      <c r="Q66" s="100"/>
      <c r="R66" s="100"/>
      <c r="S66" s="100"/>
      <c r="T66" s="100"/>
      <c r="U66" s="100"/>
      <c r="V66" s="100"/>
      <c r="W66" s="100"/>
    </row>
    <row r="67" spans="2:23" ht="15.75" customHeight="1">
      <c r="B67" s="92" t="s">
        <v>535</v>
      </c>
      <c r="C67" s="108">
        <f>_xlfn.XLOOKUP(B67,[1]Basileia!$A$2:$A$1010,[1]Basileia!$D$2:$D$1010)</f>
        <v>0.25</v>
      </c>
      <c r="D67" s="109">
        <f>_xlfn.XLOOKUP(B67,[1]Imobilizado!$A$2:$A$337,[1]Imobilizado!$D$2:$D$337)</f>
        <v>1</v>
      </c>
      <c r="E67" s="109">
        <f>_xlfn.XLOOKUP(B67,'[1]Lucro Líquido'!$A$2:$A$995,'[1]Lucro Líquido'!$D$2:$D$995)</f>
        <v>1</v>
      </c>
      <c r="F67" s="110">
        <f>_xlfn.XLOOKUP(B67,'[1]Receita '!$A$2:$A$691,'[1]Receita '!$D$2:$D$691)</f>
        <v>1</v>
      </c>
      <c r="G67" s="111">
        <f>((C67*$C$1)+(D67*$D$1)+(E67*$E$1)+(F67*$F$1))</f>
        <v>0.70000000000000007</v>
      </c>
      <c r="H67" s="97"/>
      <c r="I67" s="112">
        <f>SUM(C67:F67)</f>
        <v>3.25</v>
      </c>
      <c r="J67" s="113">
        <f>I67/$J$2</f>
        <v>0.8125</v>
      </c>
      <c r="K67" s="100"/>
      <c r="L67" s="129" t="s">
        <v>459</v>
      </c>
      <c r="M67" s="130" t="s">
        <v>459</v>
      </c>
      <c r="N67" s="131" t="s">
        <v>461</v>
      </c>
      <c r="O67" s="100"/>
      <c r="P67" s="100"/>
      <c r="Q67" s="100"/>
      <c r="R67" s="100"/>
      <c r="S67" s="100"/>
      <c r="T67" s="100"/>
      <c r="U67" s="100"/>
      <c r="V67" s="100"/>
      <c r="W67" s="100"/>
    </row>
    <row r="68" spans="2:23" ht="15.75" customHeight="1">
      <c r="B68" s="92" t="s">
        <v>536</v>
      </c>
      <c r="C68" s="108">
        <f>_xlfn.XLOOKUP(B68,[1]Basileia!$A$2:$A$1010,[1]Basileia!$D$2:$D$1010)</f>
        <v>0.25</v>
      </c>
      <c r="D68" s="109">
        <f>_xlfn.XLOOKUP(B68,[1]Imobilizado!$A$2:$A$337,[1]Imobilizado!$D$2:$D$337)</f>
        <v>1</v>
      </c>
      <c r="E68" s="109">
        <f>_xlfn.XLOOKUP(B68,'[1]Lucro Líquido'!$A$2:$A$995,'[1]Lucro Líquido'!$D$2:$D$995)</f>
        <v>1</v>
      </c>
      <c r="F68" s="110">
        <f>_xlfn.XLOOKUP(B68,'[1]Receita '!$A$2:$A$691,'[1]Receita '!$D$2:$D$691)</f>
        <v>1</v>
      </c>
      <c r="G68" s="111">
        <f>((C68*$C$1)+(D68*$D$1)+(E68*$E$1)+(F68*$F$1))</f>
        <v>0.70000000000000007</v>
      </c>
      <c r="H68" s="97"/>
      <c r="I68" s="112">
        <f>SUM(C68:F68)</f>
        <v>3.25</v>
      </c>
      <c r="J68" s="113">
        <f>I68/$J$2</f>
        <v>0.8125</v>
      </c>
      <c r="K68" s="100"/>
      <c r="L68" s="114" t="s">
        <v>450</v>
      </c>
      <c r="M68" s="115"/>
      <c r="N68" s="116"/>
      <c r="O68" s="100"/>
      <c r="P68" s="100"/>
      <c r="Q68" s="100"/>
      <c r="R68" s="100"/>
      <c r="S68" s="100"/>
      <c r="T68" s="100"/>
      <c r="U68" s="100"/>
      <c r="V68" s="100"/>
      <c r="W68" s="100"/>
    </row>
    <row r="69" spans="2:23" ht="15.75" customHeight="1">
      <c r="B69" s="92" t="s">
        <v>537</v>
      </c>
      <c r="C69" s="108">
        <f>_xlfn.XLOOKUP(B69,[1]Basileia!$A$2:$A$1010,[1]Basileia!$D$2:$D$1010)</f>
        <v>0.25</v>
      </c>
      <c r="D69" s="109">
        <f>_xlfn.XLOOKUP(B69,[1]Imobilizado!$A$2:$A$337,[1]Imobilizado!$D$2:$D$337)</f>
        <v>1</v>
      </c>
      <c r="E69" s="109">
        <f>_xlfn.XLOOKUP(B69,'[1]Lucro Líquido'!$A$2:$A$995,'[1]Lucro Líquido'!$D$2:$D$995)</f>
        <v>1</v>
      </c>
      <c r="F69" s="110">
        <f>_xlfn.XLOOKUP(B69,'[1]Receita '!$A$2:$A$691,'[1]Receita '!$D$2:$D$691)</f>
        <v>1</v>
      </c>
      <c r="G69" s="111">
        <f>((C69*$C$1)+(D69*$D$1)+(E69*$E$1)+(F69*$F$1))</f>
        <v>0.70000000000000007</v>
      </c>
      <c r="H69" s="97"/>
      <c r="I69" s="112">
        <f>SUM(C69:F69)</f>
        <v>3.25</v>
      </c>
      <c r="J69" s="113">
        <f>I69/$J$2</f>
        <v>0.8125</v>
      </c>
      <c r="K69" s="100"/>
      <c r="L69" s="114"/>
      <c r="M69" s="115" t="s">
        <v>443</v>
      </c>
      <c r="N69" s="116"/>
      <c r="O69" s="100"/>
      <c r="P69" s="100"/>
      <c r="Q69" s="100"/>
      <c r="R69" s="100"/>
      <c r="S69" s="100"/>
      <c r="T69" s="100"/>
      <c r="U69" s="100"/>
      <c r="V69" s="100"/>
      <c r="W69" s="100"/>
    </row>
    <row r="70" spans="2:23" ht="15.75" customHeight="1">
      <c r="B70" s="92" t="s">
        <v>538</v>
      </c>
      <c r="C70" s="108">
        <f>_xlfn.XLOOKUP(B70,[1]Basileia!$A$2:$A$1010,[1]Basileia!$D$2:$D$1010)</f>
        <v>0.25</v>
      </c>
      <c r="D70" s="109">
        <f>_xlfn.XLOOKUP(B70,[1]Imobilizado!$A$2:$A$337,[1]Imobilizado!$D$2:$D$337)</f>
        <v>1</v>
      </c>
      <c r="E70" s="109">
        <f>_xlfn.XLOOKUP(B70,'[1]Lucro Líquido'!$A$2:$A$995,'[1]Lucro Líquido'!$D$2:$D$995)</f>
        <v>1</v>
      </c>
      <c r="F70" s="110">
        <f>_xlfn.XLOOKUP(B70,'[1]Receita '!$A$2:$A$691,'[1]Receita '!$D$2:$D$691)</f>
        <v>1</v>
      </c>
      <c r="G70" s="111">
        <f>((C70*$C$1)+(D70*$D$1)+(E70*$E$1)+(F70*$F$1))</f>
        <v>0.70000000000000007</v>
      </c>
      <c r="H70" s="97"/>
      <c r="I70" s="112">
        <f>SUM(C70:F70)</f>
        <v>3.25</v>
      </c>
      <c r="J70" s="113">
        <f>I70/$J$2</f>
        <v>0.8125</v>
      </c>
      <c r="K70" s="100"/>
      <c r="L70" s="114"/>
      <c r="M70" s="115" t="s">
        <v>450</v>
      </c>
      <c r="N70" s="116" t="s">
        <v>471</v>
      </c>
      <c r="O70" s="100"/>
      <c r="P70" s="100"/>
      <c r="Q70" s="100"/>
      <c r="R70" s="100"/>
      <c r="S70" s="100"/>
      <c r="T70" s="100"/>
      <c r="U70" s="100"/>
      <c r="V70" s="100"/>
      <c r="W70" s="100"/>
    </row>
    <row r="71" spans="2:23" ht="15.75" customHeight="1">
      <c r="B71" s="92" t="s">
        <v>539</v>
      </c>
      <c r="C71" s="108">
        <f>_xlfn.XLOOKUP(B71,[1]Basileia!$A$2:$A$1010,[1]Basileia!$D$2:$D$1010)</f>
        <v>0.25</v>
      </c>
      <c r="D71" s="109">
        <f>_xlfn.XLOOKUP(B71,[1]Imobilizado!$A$2:$A$337,[1]Imobilizado!$D$2:$D$337)</f>
        <v>1</v>
      </c>
      <c r="E71" s="109">
        <f>_xlfn.XLOOKUP(B71,'[1]Lucro Líquido'!$A$2:$A$995,'[1]Lucro Líquido'!$D$2:$D$995)</f>
        <v>1</v>
      </c>
      <c r="F71" s="110">
        <f>_xlfn.XLOOKUP(B71,'[1]Receita '!$A$2:$A$691,'[1]Receita '!$D$2:$D$691)</f>
        <v>1</v>
      </c>
      <c r="G71" s="111">
        <f>((C71*$C$1)+(D71*$D$1)+(E71*$E$1)+(F71*$F$1))</f>
        <v>0.70000000000000007</v>
      </c>
      <c r="H71" s="97"/>
      <c r="I71" s="112">
        <f>SUM(C71:F71)</f>
        <v>3.25</v>
      </c>
      <c r="J71" s="113">
        <f>I71/$J$2</f>
        <v>0.8125</v>
      </c>
      <c r="K71" s="100"/>
      <c r="L71" s="114"/>
      <c r="M71" s="115"/>
      <c r="N71" s="116" t="s">
        <v>443</v>
      </c>
      <c r="O71" s="100"/>
      <c r="P71" s="100"/>
      <c r="Q71" s="100"/>
      <c r="R71" s="100"/>
      <c r="S71" s="100"/>
      <c r="T71" s="100"/>
      <c r="U71" s="100"/>
      <c r="V71" s="100"/>
      <c r="W71" s="100"/>
    </row>
    <row r="72" spans="2:23" ht="15.75" customHeight="1">
      <c r="B72" s="92" t="s">
        <v>540</v>
      </c>
      <c r="C72" s="108">
        <f>_xlfn.XLOOKUP(B72,[1]Basileia!$A$2:$A$1010,[1]Basileia!$D$2:$D$1010)</f>
        <v>0.25</v>
      </c>
      <c r="D72" s="109">
        <f>_xlfn.XLOOKUP(B72,[1]Imobilizado!$A$2:$A$337,[1]Imobilizado!$D$2:$D$337)</f>
        <v>1</v>
      </c>
      <c r="E72" s="109">
        <f>_xlfn.XLOOKUP(B72,'[1]Lucro Líquido'!$A$2:$A$995,'[1]Lucro Líquido'!$D$2:$D$995)</f>
        <v>1</v>
      </c>
      <c r="F72" s="110">
        <f>_xlfn.XLOOKUP(B72,'[1]Receita '!$A$2:$A$691,'[1]Receita '!$D$2:$D$691)</f>
        <v>1</v>
      </c>
      <c r="G72" s="111">
        <f>((C72*$C$1)+(D72*$D$1)+(E72*$E$1)+(F72*$F$1))</f>
        <v>0.70000000000000007</v>
      </c>
      <c r="H72" s="97"/>
      <c r="I72" s="112">
        <f>SUM(C72:F72)</f>
        <v>3.25</v>
      </c>
      <c r="J72" s="132">
        <f>I72/$J$2</f>
        <v>0.8125</v>
      </c>
      <c r="K72" s="100"/>
      <c r="L72" s="114" t="s">
        <v>450</v>
      </c>
      <c r="M72" s="115"/>
      <c r="N72" s="116" t="s">
        <v>471</v>
      </c>
      <c r="O72" s="100"/>
      <c r="P72" s="100"/>
      <c r="Q72" s="100"/>
      <c r="R72" s="100"/>
      <c r="S72" s="100"/>
      <c r="T72" s="100"/>
      <c r="U72" s="100"/>
      <c r="V72" s="100"/>
      <c r="W72" s="100"/>
    </row>
    <row r="73" spans="2:23" ht="15.75" customHeight="1">
      <c r="B73" s="92" t="s">
        <v>541</v>
      </c>
      <c r="C73" s="108">
        <f>_xlfn.XLOOKUP(B73,[1]Basileia!$A$2:$A$1010,[1]Basileia!$D$2:$D$1010)</f>
        <v>0.25</v>
      </c>
      <c r="D73" s="109">
        <f>_xlfn.XLOOKUP(B73,[1]Imobilizado!$A$2:$A$337,[1]Imobilizado!$D$2:$D$337)</f>
        <v>1</v>
      </c>
      <c r="E73" s="109">
        <f>_xlfn.XLOOKUP(B73,'[1]Lucro Líquido'!$A$2:$A$995,'[1]Lucro Líquido'!$D$2:$D$995)</f>
        <v>1</v>
      </c>
      <c r="F73" s="110">
        <f>_xlfn.XLOOKUP(B73,'[1]Receita '!$A$2:$A$691,'[1]Receita '!$D$2:$D$691)</f>
        <v>1</v>
      </c>
      <c r="G73" s="111">
        <f>((C73*$C$1)+(D73*$D$1)+(E73*$E$1)+(F73*$F$1))</f>
        <v>0.70000000000000007</v>
      </c>
      <c r="H73" s="97"/>
      <c r="I73" s="112">
        <f>SUM(C73:F73)</f>
        <v>3.25</v>
      </c>
      <c r="J73" s="132">
        <f>I73/$J$2</f>
        <v>0.8125</v>
      </c>
      <c r="K73" s="100"/>
      <c r="L73" s="114"/>
      <c r="M73" s="115" t="s">
        <v>443</v>
      </c>
      <c r="N73" s="116"/>
      <c r="O73" s="100"/>
      <c r="P73" s="100"/>
      <c r="Q73" s="100"/>
      <c r="R73" s="100"/>
      <c r="S73" s="100"/>
      <c r="T73" s="100"/>
      <c r="U73" s="100"/>
      <c r="V73" s="100"/>
      <c r="W73" s="100"/>
    </row>
    <row r="74" spans="2:23" ht="15.75" customHeight="1">
      <c r="B74" s="92" t="s">
        <v>542</v>
      </c>
      <c r="C74" s="108">
        <f>_xlfn.XLOOKUP(B74,[1]Basileia!$A$2:$A$1010,[1]Basileia!$D$2:$D$1010)</f>
        <v>0.25</v>
      </c>
      <c r="D74" s="109">
        <f>_xlfn.XLOOKUP(B74,[1]Imobilizado!$A$2:$A$337,[1]Imobilizado!$D$2:$D$337)</f>
        <v>1</v>
      </c>
      <c r="E74" s="109">
        <f>_xlfn.XLOOKUP(B74,'[1]Lucro Líquido'!$A$2:$A$995,'[1]Lucro Líquido'!$D$2:$D$995)</f>
        <v>1</v>
      </c>
      <c r="F74" s="110">
        <f>_xlfn.XLOOKUP(B74,'[1]Receita '!$A$2:$A$691,'[1]Receita '!$D$2:$D$691)</f>
        <v>1</v>
      </c>
      <c r="G74" s="111">
        <f>((C74*$C$1)+(D74*$D$1)+(E74*$E$1)+(F74*$F$1))</f>
        <v>0.70000000000000007</v>
      </c>
      <c r="H74" s="97"/>
      <c r="I74" s="112">
        <f>SUM(C74:F74)</f>
        <v>3.25</v>
      </c>
      <c r="J74" s="132">
        <f>I74/$J$2</f>
        <v>0.8125</v>
      </c>
      <c r="K74" s="100"/>
      <c r="L74" s="114" t="s">
        <v>471</v>
      </c>
      <c r="M74" s="115" t="s">
        <v>450</v>
      </c>
      <c r="N74" s="116"/>
      <c r="O74" s="100"/>
      <c r="P74" s="100"/>
      <c r="Q74" s="100"/>
      <c r="R74" s="100"/>
      <c r="S74" s="100"/>
      <c r="T74" s="100"/>
      <c r="U74" s="100"/>
      <c r="V74" s="100"/>
      <c r="W74" s="100"/>
    </row>
    <row r="75" spans="2:23" ht="15.75" customHeight="1">
      <c r="B75" s="92" t="s">
        <v>543</v>
      </c>
      <c r="C75" s="108">
        <f>_xlfn.XLOOKUP(B75,[1]Basileia!$A$2:$A$1010,[1]Basileia!$D$2:$D$1010)</f>
        <v>0.25</v>
      </c>
      <c r="D75" s="109">
        <f>_xlfn.XLOOKUP(B75,[1]Imobilizado!$A$2:$A$337,[1]Imobilizado!$D$2:$D$337)</f>
        <v>1</v>
      </c>
      <c r="E75" s="109">
        <f>_xlfn.XLOOKUP(B75,'[1]Lucro Líquido'!$A$2:$A$995,'[1]Lucro Líquido'!$D$2:$D$995)</f>
        <v>1</v>
      </c>
      <c r="F75" s="110">
        <f>_xlfn.XLOOKUP(B75,'[1]Receita '!$A$2:$A$691,'[1]Receita '!$D$2:$D$691)</f>
        <v>1</v>
      </c>
      <c r="G75" s="111">
        <f>((C75*$C$1)+(D75*$D$1)+(E75*$E$1)+(F75*$F$1))</f>
        <v>0.70000000000000007</v>
      </c>
      <c r="H75" s="97"/>
      <c r="I75" s="112">
        <f>SUM(C75:F75)</f>
        <v>3.25</v>
      </c>
      <c r="J75" s="132">
        <f>I75/$J$2</f>
        <v>0.8125</v>
      </c>
      <c r="K75" s="100"/>
      <c r="L75" s="114"/>
      <c r="M75" s="115"/>
      <c r="N75" s="116" t="s">
        <v>459</v>
      </c>
      <c r="O75" s="100"/>
      <c r="P75" s="100"/>
      <c r="Q75" s="100"/>
      <c r="R75" s="100"/>
      <c r="S75" s="100"/>
      <c r="T75" s="100"/>
      <c r="U75" s="100"/>
      <c r="V75" s="100"/>
      <c r="W75" s="100"/>
    </row>
    <row r="76" spans="2:23" ht="15.75" customHeight="1">
      <c r="B76" s="92" t="s">
        <v>544</v>
      </c>
      <c r="C76" s="108">
        <f>_xlfn.XLOOKUP(B76,[1]Basileia!$A$2:$A$1010,[1]Basileia!$D$2:$D$1010)</f>
        <v>0.25</v>
      </c>
      <c r="D76" s="109">
        <f>_xlfn.XLOOKUP(B76,[1]Imobilizado!$A$2:$A$337,[1]Imobilizado!$D$2:$D$337)</f>
        <v>1</v>
      </c>
      <c r="E76" s="109">
        <f>_xlfn.XLOOKUP(B76,'[1]Lucro Líquido'!$A$2:$A$995,'[1]Lucro Líquido'!$D$2:$D$995)</f>
        <v>1</v>
      </c>
      <c r="F76" s="110">
        <f>_xlfn.XLOOKUP(B76,'[1]Receita '!$A$2:$A$691,'[1]Receita '!$D$2:$D$691)</f>
        <v>1</v>
      </c>
      <c r="G76" s="111">
        <f>((C76*$C$1)+(D76*$D$1)+(E76*$E$1)+(F76*$F$1))</f>
        <v>0.70000000000000007</v>
      </c>
      <c r="H76" s="97"/>
      <c r="I76" s="112">
        <f>SUM(C76:F76)</f>
        <v>3.25</v>
      </c>
      <c r="J76" s="132">
        <f>I76/$J$2</f>
        <v>0.8125</v>
      </c>
      <c r="K76" s="100"/>
      <c r="L76" s="114" t="s">
        <v>461</v>
      </c>
      <c r="M76" s="115"/>
      <c r="N76" s="116"/>
      <c r="O76" s="100"/>
      <c r="P76" s="100"/>
      <c r="Q76" s="100"/>
      <c r="R76" s="100"/>
      <c r="S76" s="100"/>
      <c r="T76" s="100"/>
      <c r="U76" s="100"/>
      <c r="V76" s="100"/>
      <c r="W76" s="100"/>
    </row>
    <row r="77" spans="2:23" ht="15.75" customHeight="1">
      <c r="B77" s="92" t="s">
        <v>545</v>
      </c>
      <c r="C77" s="108">
        <f>_xlfn.XLOOKUP(B77,[1]Basileia!$A$2:$A$1010,[1]Basileia!$D$2:$D$1010)</f>
        <v>0.25</v>
      </c>
      <c r="D77" s="109">
        <f>_xlfn.XLOOKUP(B77,[1]Imobilizado!$A$2:$A$337,[1]Imobilizado!$D$2:$D$337)</f>
        <v>1</v>
      </c>
      <c r="E77" s="109">
        <f>_xlfn.XLOOKUP(B77,'[1]Lucro Líquido'!$A$2:$A$995,'[1]Lucro Líquido'!$D$2:$D$995)</f>
        <v>1</v>
      </c>
      <c r="F77" s="110">
        <f>_xlfn.XLOOKUP(B77,'[1]Receita '!$A$2:$A$691,'[1]Receita '!$D$2:$D$691)</f>
        <v>1</v>
      </c>
      <c r="G77" s="111">
        <f>((C77*$C$1)+(D77*$D$1)+(E77*$E$1)+(F77*$F$1))</f>
        <v>0.70000000000000007</v>
      </c>
      <c r="H77" s="97"/>
      <c r="I77" s="112">
        <f>SUM(C77:F77)</f>
        <v>3.25</v>
      </c>
      <c r="J77" s="132">
        <f>I77/$J$2</f>
        <v>0.8125</v>
      </c>
      <c r="K77" s="100"/>
      <c r="L77" s="114" t="s">
        <v>443</v>
      </c>
      <c r="M77" s="115"/>
      <c r="N77" s="116"/>
      <c r="O77" s="100"/>
      <c r="P77" s="100"/>
      <c r="Q77" s="100"/>
      <c r="R77" s="100"/>
      <c r="S77" s="100"/>
      <c r="T77" s="100"/>
      <c r="U77" s="100"/>
      <c r="V77" s="100"/>
      <c r="W77" s="100"/>
    </row>
    <row r="78" spans="2:23" ht="15.75" customHeight="1">
      <c r="B78" s="92" t="s">
        <v>546</v>
      </c>
      <c r="C78" s="108">
        <f>_xlfn.XLOOKUP(B78,[1]Basileia!$A$2:$A$1010,[1]Basileia!$D$2:$D$1010)</f>
        <v>0.25</v>
      </c>
      <c r="D78" s="109">
        <f>_xlfn.XLOOKUP(B78,[1]Imobilizado!$A$2:$A$337,[1]Imobilizado!$D$2:$D$337)</f>
        <v>1</v>
      </c>
      <c r="E78" s="109">
        <f>_xlfn.XLOOKUP(B78,'[1]Lucro Líquido'!$A$2:$A$995,'[1]Lucro Líquido'!$D$2:$D$995)</f>
        <v>1</v>
      </c>
      <c r="F78" s="110">
        <f>_xlfn.XLOOKUP(B78,'[1]Receita '!$A$2:$A$691,'[1]Receita '!$D$2:$D$691)</f>
        <v>1</v>
      </c>
      <c r="G78" s="111">
        <f>((C78*$C$1)+(D78*$D$1)+(E78*$E$1)+(F78*$F$1))</f>
        <v>0.70000000000000007</v>
      </c>
      <c r="H78" s="97"/>
      <c r="I78" s="112">
        <f>SUM(C78:F78)</f>
        <v>3.25</v>
      </c>
      <c r="J78" s="132">
        <f>I78/$J$2</f>
        <v>0.8125</v>
      </c>
      <c r="K78" s="100"/>
      <c r="L78" s="114"/>
      <c r="M78" s="115"/>
      <c r="N78" s="116" t="s">
        <v>445</v>
      </c>
      <c r="O78" s="100"/>
      <c r="P78" s="100"/>
      <c r="Q78" s="100"/>
      <c r="R78" s="100"/>
      <c r="S78" s="100"/>
      <c r="T78" s="100"/>
      <c r="U78" s="100"/>
      <c r="V78" s="100"/>
      <c r="W78" s="100"/>
    </row>
    <row r="79" spans="2:23" ht="15.75" customHeight="1">
      <c r="B79" s="133" t="s">
        <v>421</v>
      </c>
      <c r="C79" s="134">
        <f>_xlfn.XLOOKUP(B79,[1]Basileia!$A$2:$A$1010,[1]Basileia!$D$2:$D$1010)</f>
        <v>0.25</v>
      </c>
      <c r="D79" s="135">
        <f>_xlfn.XLOOKUP(B79,[1]Imobilizado!$A$2:$A$337,[1]Imobilizado!$D$2:$D$337)</f>
        <v>0.75</v>
      </c>
      <c r="E79" s="135">
        <f>_xlfn.XLOOKUP(B79,'[1]Lucro Líquido'!$A$2:$A$995,'[1]Lucro Líquido'!$D$2:$D$995)</f>
        <v>1</v>
      </c>
      <c r="F79" s="136">
        <f>_xlfn.XLOOKUP(B79,'[1]Receita '!$A$2:$A$691,'[1]Receita '!$D$2:$D$691)</f>
        <v>1</v>
      </c>
      <c r="G79" s="137">
        <f>((C79*$C$1)+(D79*$D$1)+(E79*$E$1)+(F79*$F$1))</f>
        <v>0.63749999999999996</v>
      </c>
      <c r="H79" s="97"/>
      <c r="I79" s="138">
        <f>SUM(C79:F79)</f>
        <v>3</v>
      </c>
      <c r="J79" s="139">
        <f>I79/$J$2</f>
        <v>0.75</v>
      </c>
      <c r="K79" s="100"/>
      <c r="L79" s="140" t="s">
        <v>443</v>
      </c>
      <c r="M79" s="141" t="s">
        <v>443</v>
      </c>
      <c r="N79" s="142"/>
      <c r="O79" s="100"/>
      <c r="P79" s="100"/>
      <c r="Q79" s="100"/>
      <c r="R79" s="100"/>
      <c r="S79" s="100"/>
      <c r="T79" s="100"/>
      <c r="U79" s="100"/>
      <c r="V79" s="100"/>
      <c r="W79" s="100"/>
    </row>
  </sheetData>
  <autoFilter ref="B2:J79" xr:uid="{00000000-0009-0000-0000-000001000000}">
    <sortState xmlns:xlrd2="http://schemas.microsoft.com/office/spreadsheetml/2017/richdata2" ref="B2:J79">
      <sortCondition descending="1" ref="G2:G79"/>
      <sortCondition ref="B2:B79"/>
      <sortCondition descending="1" ref="I2:I79"/>
    </sortState>
  </autoFilter>
  <mergeCells count="14">
    <mergeCell ref="P23:S23"/>
    <mergeCell ref="P24:S24"/>
    <mergeCell ref="T4:T12"/>
    <mergeCell ref="U4:U9"/>
    <mergeCell ref="U11:U12"/>
    <mergeCell ref="T14:T20"/>
    <mergeCell ref="U14:U17"/>
    <mergeCell ref="U18:U20"/>
    <mergeCell ref="T1:U2"/>
    <mergeCell ref="L1:L2"/>
    <mergeCell ref="M1:M2"/>
    <mergeCell ref="N1:N2"/>
    <mergeCell ref="P1:P2"/>
    <mergeCell ref="Q1:S1"/>
  </mergeCells>
  <conditionalFormatting sqref="B3:B79 L3:N79">
    <cfRule type="containsText" dxfId="1" priority="1" operator="containsText" text="CAMBIO">
      <formula>NOT(ISERROR(SEARCH(("CAMBIO"),(B3))))</formula>
    </cfRule>
  </conditionalFormatting>
  <conditionalFormatting sqref="G3:G79">
    <cfRule type="colorScale" priority="2">
      <colorScale>
        <cfvo type="min"/>
        <cfvo type="percentile" val="50"/>
        <cfvo type="max"/>
        <color rgb="FFF8696B"/>
        <color rgb="FFFCFCFF"/>
        <color rgb="FF63BE7B"/>
      </colorScale>
    </cfRule>
    <cfRule type="colorScale" priority="3">
      <colorScale>
        <cfvo type="min"/>
        <cfvo type="percentile" val="50"/>
        <cfvo type="max"/>
        <color rgb="FFF8696B"/>
        <color rgb="FFFCFCFF"/>
        <color rgb="FF63BE7B"/>
      </colorScale>
    </cfRule>
    <cfRule type="colorScale" priority="4">
      <colorScale>
        <cfvo type="percent" val="0.5"/>
        <cfvo type="max"/>
        <color rgb="FFFFC000"/>
        <color theme="9"/>
      </colorScale>
    </cfRule>
    <cfRule type="cellIs" dxfId="0" priority="5" operator="greaterThan">
      <formula>0.5</formula>
    </cfRule>
  </conditionalFormatting>
  <pageMargins left="7.874015748031496E-2" right="0.51453855878634647" top="7.874015748031496E-2" bottom="7.874015748031496E-2" header="0" footer="0"/>
  <pageSetup scale="65"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874E-7F18-4052-82D2-690714A60EB4}">
  <sheetPr>
    <tabColor theme="0"/>
  </sheetPr>
  <dimension ref="B1:P47"/>
  <sheetViews>
    <sheetView topLeftCell="A27" workbookViewId="0">
      <selection activeCell="F37" sqref="F37"/>
    </sheetView>
  </sheetViews>
  <sheetFormatPr defaultRowHeight="15"/>
  <cols>
    <col min="1" max="1" width="4" customWidth="1"/>
    <col min="2" max="2" width="19.42578125" customWidth="1"/>
    <col min="3" max="3" width="63.85546875" bestFit="1" customWidth="1"/>
    <col min="4" max="4" width="12.28515625" customWidth="1"/>
    <col min="5" max="6" width="9.140625" bestFit="1" customWidth="1"/>
    <col min="7" max="7" width="14.7109375" bestFit="1" customWidth="1"/>
    <col min="8" max="8" width="13" bestFit="1" customWidth="1"/>
    <col min="9" max="15" width="9.140625" bestFit="1" customWidth="1"/>
    <col min="16" max="16" width="28.28515625" customWidth="1"/>
    <col min="17" max="17" width="13" customWidth="1"/>
    <col min="18" max="18" width="12" customWidth="1"/>
    <col min="19" max="19" width="18.140625" customWidth="1"/>
    <col min="20" max="20" width="15" customWidth="1"/>
    <col min="21" max="21" width="15.5703125" customWidth="1"/>
    <col min="22" max="22" width="19.5703125" customWidth="1"/>
    <col min="23" max="23" width="9.140625" bestFit="1" customWidth="1"/>
  </cols>
  <sheetData>
    <row r="1" spans="2:13">
      <c r="E1" s="8"/>
    </row>
    <row r="2" spans="2:13">
      <c r="F2" s="470" t="s">
        <v>547</v>
      </c>
      <c r="G2" s="470"/>
    </row>
    <row r="3" spans="2:13">
      <c r="F3" s="69"/>
      <c r="G3" s="70" t="s">
        <v>548</v>
      </c>
    </row>
    <row r="4" spans="2:13">
      <c r="B4" s="471" t="s">
        <v>549</v>
      </c>
      <c r="C4" s="471"/>
      <c r="D4" s="471"/>
      <c r="F4" s="72"/>
      <c r="G4" s="73" t="s">
        <v>550</v>
      </c>
    </row>
    <row r="5" spans="2:13">
      <c r="B5" s="74" t="s">
        <v>551</v>
      </c>
      <c r="C5" s="74" t="s">
        <v>552</v>
      </c>
      <c r="D5" s="74" t="s">
        <v>547</v>
      </c>
      <c r="F5" s="71"/>
      <c r="G5" s="70" t="s">
        <v>553</v>
      </c>
    </row>
    <row r="6" spans="2:13">
      <c r="B6" s="70" t="s">
        <v>410</v>
      </c>
      <c r="C6" s="70" t="s">
        <v>554</v>
      </c>
      <c r="D6" s="69"/>
    </row>
    <row r="7" spans="2:13">
      <c r="B7" s="75" t="s">
        <v>555</v>
      </c>
      <c r="C7" s="75" t="s">
        <v>556</v>
      </c>
      <c r="D7" s="69"/>
    </row>
    <row r="8" spans="2:13">
      <c r="B8" s="70" t="s">
        <v>555</v>
      </c>
      <c r="C8" s="70" t="s">
        <v>557</v>
      </c>
      <c r="D8" s="69"/>
    </row>
    <row r="9" spans="2:13">
      <c r="B9" s="70" t="s">
        <v>216</v>
      </c>
      <c r="C9" s="70" t="s">
        <v>556</v>
      </c>
      <c r="D9" s="69"/>
    </row>
    <row r="10" spans="2:13">
      <c r="B10" s="70" t="s">
        <v>216</v>
      </c>
      <c r="C10" s="70" t="s">
        <v>558</v>
      </c>
      <c r="D10" s="69"/>
    </row>
    <row r="11" spans="2:13">
      <c r="B11" s="70" t="s">
        <v>559</v>
      </c>
      <c r="C11" s="70" t="s">
        <v>560</v>
      </c>
      <c r="D11" s="69"/>
    </row>
    <row r="12" spans="2:13">
      <c r="B12" s="70" t="s">
        <v>559</v>
      </c>
      <c r="C12" s="70" t="s">
        <v>561</v>
      </c>
      <c r="D12" s="69"/>
    </row>
    <row r="13" spans="2:13">
      <c r="B13" s="70" t="s">
        <v>559</v>
      </c>
      <c r="C13" s="70" t="s">
        <v>562</v>
      </c>
      <c r="D13" s="69"/>
    </row>
    <row r="14" spans="2:13">
      <c r="B14" s="73" t="s">
        <v>559</v>
      </c>
      <c r="C14" s="73" t="s">
        <v>563</v>
      </c>
      <c r="D14" s="69"/>
    </row>
    <row r="15" spans="2:13">
      <c r="B15" s="70" t="s">
        <v>564</v>
      </c>
      <c r="C15" s="70" t="s">
        <v>565</v>
      </c>
      <c r="D15" s="69"/>
      <c r="E15" t="s">
        <v>566</v>
      </c>
      <c r="M15" s="342"/>
    </row>
    <row r="16" spans="2:13">
      <c r="B16" s="70" t="s">
        <v>564</v>
      </c>
      <c r="C16" s="70" t="s">
        <v>567</v>
      </c>
      <c r="D16" s="69"/>
    </row>
    <row r="17" spans="2:16">
      <c r="B17" s="70" t="s">
        <v>564</v>
      </c>
      <c r="C17" s="70" t="s">
        <v>568</v>
      </c>
      <c r="D17" s="69"/>
    </row>
    <row r="18" spans="2:16">
      <c r="B18" s="70" t="s">
        <v>564</v>
      </c>
      <c r="C18" s="70" t="s">
        <v>569</v>
      </c>
      <c r="D18" s="69"/>
      <c r="H18" s="343"/>
      <c r="P18" s="344"/>
    </row>
    <row r="19" spans="2:16">
      <c r="B19" s="70" t="s">
        <v>570</v>
      </c>
      <c r="C19" s="70" t="s">
        <v>571</v>
      </c>
      <c r="D19" s="69"/>
    </row>
    <row r="20" spans="2:16">
      <c r="B20" s="73" t="s">
        <v>570</v>
      </c>
      <c r="C20" s="73" t="s">
        <v>572</v>
      </c>
      <c r="D20" s="69"/>
    </row>
    <row r="21" spans="2:16">
      <c r="B21" s="73" t="s">
        <v>570</v>
      </c>
      <c r="C21" s="73" t="s">
        <v>573</v>
      </c>
      <c r="D21" s="69"/>
    </row>
    <row r="22" spans="2:16">
      <c r="B22" s="70" t="s">
        <v>574</v>
      </c>
      <c r="C22" s="70" t="s">
        <v>575</v>
      </c>
      <c r="D22" s="69"/>
      <c r="F22" s="345"/>
    </row>
    <row r="23" spans="2:16">
      <c r="B23" s="73" t="s">
        <v>576</v>
      </c>
      <c r="C23" s="73" t="s">
        <v>575</v>
      </c>
      <c r="D23" s="69"/>
    </row>
    <row r="24" spans="2:16">
      <c r="B24" s="70" t="s">
        <v>576</v>
      </c>
      <c r="C24" s="70" t="s">
        <v>577</v>
      </c>
      <c r="D24" s="69"/>
    </row>
    <row r="25" spans="2:16">
      <c r="B25" s="70" t="s">
        <v>576</v>
      </c>
      <c r="C25" s="70" t="s">
        <v>578</v>
      </c>
      <c r="D25" s="69"/>
    </row>
    <row r="26" spans="2:16">
      <c r="B26" s="70" t="s">
        <v>576</v>
      </c>
      <c r="C26" s="70" t="s">
        <v>579</v>
      </c>
      <c r="D26" s="69"/>
    </row>
    <row r="27" spans="2:16" ht="43.5">
      <c r="B27" s="77" t="s">
        <v>580</v>
      </c>
      <c r="C27" s="76" t="s">
        <v>581</v>
      </c>
      <c r="D27" s="346"/>
    </row>
    <row r="28" spans="2:16" ht="29.25">
      <c r="B28" s="77" t="s">
        <v>580</v>
      </c>
      <c r="C28" s="76" t="s">
        <v>582</v>
      </c>
      <c r="D28" s="69"/>
    </row>
    <row r="29" spans="2:16">
      <c r="B29" s="77" t="s">
        <v>134</v>
      </c>
      <c r="C29" s="76" t="s">
        <v>583</v>
      </c>
      <c r="D29" s="69"/>
    </row>
    <row r="30" spans="2:16" ht="29.25">
      <c r="B30" s="77" t="s">
        <v>580</v>
      </c>
      <c r="C30" s="76" t="s">
        <v>584</v>
      </c>
      <c r="D30" s="346"/>
    </row>
    <row r="31" spans="2:16" ht="43.5">
      <c r="B31" s="347" t="s">
        <v>580</v>
      </c>
      <c r="C31" s="348" t="s">
        <v>585</v>
      </c>
      <c r="D31" s="69"/>
    </row>
    <row r="32" spans="2:16">
      <c r="B32" s="77" t="s">
        <v>580</v>
      </c>
      <c r="C32" s="70" t="s">
        <v>586</v>
      </c>
      <c r="D32" s="346"/>
    </row>
    <row r="33" spans="2:6">
      <c r="B33" s="347" t="s">
        <v>580</v>
      </c>
      <c r="C33" s="73" t="s">
        <v>587</v>
      </c>
      <c r="D33" s="346"/>
    </row>
    <row r="34" spans="2:6">
      <c r="B34" s="73" t="s">
        <v>588</v>
      </c>
      <c r="C34" s="73" t="s">
        <v>589</v>
      </c>
      <c r="D34" s="346"/>
    </row>
    <row r="35" spans="2:6">
      <c r="B35" s="73" t="s">
        <v>580</v>
      </c>
      <c r="C35" s="73" t="s">
        <v>590</v>
      </c>
      <c r="D35" s="346"/>
    </row>
    <row r="36" spans="2:6">
      <c r="B36" s="70" t="s">
        <v>580</v>
      </c>
      <c r="C36" s="70" t="s">
        <v>591</v>
      </c>
      <c r="D36" s="69"/>
      <c r="F36" s="239"/>
    </row>
    <row r="37" spans="2:6" ht="29.25">
      <c r="B37" s="347" t="s">
        <v>134</v>
      </c>
      <c r="C37" s="349" t="s">
        <v>592</v>
      </c>
      <c r="D37" s="69"/>
    </row>
    <row r="38" spans="2:6">
      <c r="B38" s="73" t="s">
        <v>576</v>
      </c>
      <c r="C38" s="73" t="s">
        <v>593</v>
      </c>
      <c r="D38" s="346"/>
    </row>
    <row r="39" spans="2:6">
      <c r="B39" s="70" t="s">
        <v>576</v>
      </c>
      <c r="C39" s="70" t="s">
        <v>594</v>
      </c>
      <c r="D39" s="346"/>
    </row>
    <row r="47" spans="2:6">
      <c r="E47" s="350"/>
    </row>
  </sheetData>
  <mergeCells count="2">
    <mergeCell ref="F2:G2"/>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Beato</dc:creator>
  <cp:keywords/>
  <dc:description/>
  <cp:lastModifiedBy/>
  <cp:revision/>
  <dcterms:created xsi:type="dcterms:W3CDTF">2024-11-25T19:44:45Z</dcterms:created>
  <dcterms:modified xsi:type="dcterms:W3CDTF">2026-06-17T14:32:21Z</dcterms:modified>
  <cp:category/>
  <cp:contentStatus/>
</cp:coreProperties>
</file>